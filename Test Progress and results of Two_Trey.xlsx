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3.xml" ContentType="application/vnd.ms-excel.person+xml"/>
  <Override PartName="/xl/persons/person4.xml" ContentType="application/vnd.ms-excel.person+xml"/>
  <Override PartName="/xl/persons/person6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37f77082224d94e/Desktop/TWO TERY/"/>
    </mc:Choice>
  </mc:AlternateContent>
  <xr:revisionPtr revIDLastSave="158" documentId="13_ncr:1_{BC5DC9C6-CDFF-4736-AD4C-F445B656A9CB}" xr6:coauthVersionLast="47" xr6:coauthVersionMax="47" xr10:uidLastSave="{CD4F8E96-FA3E-414B-B22A-B16651008FA7}"/>
  <bookViews>
    <workbookView xWindow="-108" yWindow="-108" windowWidth="23256" windowHeight="12576" xr2:uid="{00000000-000D-0000-FFFF-FFFF00000000}"/>
  </bookViews>
  <sheets>
    <sheet name="Test Case for header section" sheetId="3" r:id="rId1"/>
    <sheet name="Test Cases for the Home Page" sheetId="4" r:id="rId2"/>
    <sheet name="Test Cases for the About Page" sheetId="5" r:id="rId3"/>
    <sheet name="Test Cases for the Publisher" sheetId="6" r:id="rId4"/>
    <sheet name="Test Cases for the Advertiser  " sheetId="7" r:id="rId5"/>
    <sheet name="Test Cases for the Blog" sheetId="8" r:id="rId6"/>
    <sheet name="Test Cases for the Contact Us" sheetId="9" r:id="rId7"/>
    <sheet name="Test Cases for the Footer" sheetId="10" r:id="rId8"/>
  </sheets>
  <definedNames>
    <definedName name="mm">'Test Case for header section'!$H$9</definedName>
    <definedName name="verify_package_Design">'Test Case for header section'!$H$9</definedName>
  </definedNames>
  <calcPr calcId="191029"/>
</workbook>
</file>

<file path=xl/calcChain.xml><?xml version="1.0" encoding="utf-8"?>
<calcChain xmlns="http://schemas.openxmlformats.org/spreadsheetml/2006/main">
  <c r="I4" i="10" l="1"/>
  <c r="I4" i="9"/>
  <c r="I2" i="9"/>
  <c r="I4" i="8"/>
  <c r="I3" i="8"/>
  <c r="I2" i="8"/>
  <c r="I4" i="7"/>
  <c r="I5" i="7" s="1"/>
  <c r="I4" i="6"/>
  <c r="I4" i="5"/>
  <c r="I2" i="5"/>
  <c r="I2" i="4"/>
  <c r="I5" i="4"/>
  <c r="I2" i="3"/>
  <c r="I5" i="5" l="1"/>
  <c r="I5" i="10"/>
  <c r="I5" i="9"/>
  <c r="I5" i="8"/>
  <c r="I5" i="3"/>
  <c r="I4" i="3"/>
  <c r="I6" i="3" l="1"/>
</calcChain>
</file>

<file path=xl/sharedStrings.xml><?xml version="1.0" encoding="utf-8"?>
<sst xmlns="http://schemas.openxmlformats.org/spreadsheetml/2006/main" count="1066" uniqueCount="612">
  <si>
    <t>PASS</t>
  </si>
  <si>
    <t>FAIL</t>
  </si>
  <si>
    <t>Remarks</t>
  </si>
  <si>
    <t>No</t>
  </si>
  <si>
    <t>Product Name</t>
  </si>
  <si>
    <t>TC Start Date</t>
  </si>
  <si>
    <t>TC Execution Start Date</t>
  </si>
  <si>
    <t>TEST CASE SUMMARY</t>
  </si>
  <si>
    <t>Module Name</t>
  </si>
  <si>
    <t>TC End Date</t>
  </si>
  <si>
    <t>TC Execution End Date</t>
  </si>
  <si>
    <t>Test Case Developed By</t>
  </si>
  <si>
    <t>Browser (tested)</t>
  </si>
  <si>
    <t>Developer Name (TL)</t>
  </si>
  <si>
    <t>Test Case Reviewed By</t>
  </si>
  <si>
    <t>Performance (tested)</t>
  </si>
  <si>
    <t>WARNING</t>
  </si>
  <si>
    <t>Test Executed by</t>
  </si>
  <si>
    <t>TOTAL</t>
  </si>
  <si>
    <t>Test Case ID/Name</t>
  </si>
  <si>
    <t>Test Case Description</t>
  </si>
  <si>
    <t>Expected Result</t>
  </si>
  <si>
    <t>Status</t>
  </si>
  <si>
    <t>Test Data</t>
  </si>
  <si>
    <t>Step Description</t>
  </si>
  <si>
    <t>Actual</t>
  </si>
  <si>
    <t>x</t>
  </si>
  <si>
    <t>Rahul Paul</t>
  </si>
  <si>
    <t>TC_REGISTER_006</t>
  </si>
  <si>
    <t xml:space="preserve">
FAIL</t>
  </si>
  <si>
    <t xml:space="preserve">
PASS</t>
  </si>
  <si>
    <t>Successfully created</t>
  </si>
  <si>
    <t xml:space="preserve">
PASS</t>
  </si>
  <si>
    <t>Two Trey</t>
  </si>
  <si>
    <t>24/03/2023</t>
  </si>
  <si>
    <t>TC_HEADER_001</t>
  </si>
  <si>
    <t>TC_HEADER_002</t>
  </si>
  <si>
    <t>TC_HEADER_004</t>
  </si>
  <si>
    <t>TC_HEADER_005</t>
  </si>
  <si>
    <t>TC_HEADER_007</t>
  </si>
  <si>
    <t>TC_HEADER_008</t>
  </si>
  <si>
    <t>TC_HEADER_009</t>
  </si>
  <si>
    <t>TC_HEADER_010</t>
  </si>
  <si>
    <t>TC_HEADER_011</t>
  </si>
  <si>
    <t>Verify the header section added on the website.</t>
  </si>
  <si>
    <t>1.  Valid header</t>
  </si>
  <si>
    <t>go to two trey website</t>
  </si>
  <si>
    <t>Header should be added</t>
  </si>
  <si>
    <t>Header added</t>
  </si>
  <si>
    <t>Verify header section is aligned</t>
  </si>
  <si>
    <t>Header should be alligned</t>
  </si>
  <si>
    <t>Header alligned</t>
  </si>
  <si>
    <t>TC_HEADER_003</t>
  </si>
  <si>
    <t xml:space="preserve"> Verify whether link text should be readable or not</t>
  </si>
  <si>
    <t>2. Valid measurments</t>
  </si>
  <si>
    <t>3. Link Text</t>
  </si>
  <si>
    <t>go to two trey website -&gt; tap to the header section</t>
  </si>
  <si>
    <t>Link text should be readable</t>
  </si>
  <si>
    <t>Link text is readable</t>
  </si>
  <si>
    <t>Verify the logo of the website added on the header is aligned or not</t>
  </si>
  <si>
    <t>4. "TWO TREY" Logo</t>
  </si>
  <si>
    <t>go to two trey website -&gt; tap to the header section.</t>
  </si>
  <si>
    <t>Logo should be alligned with header section</t>
  </si>
  <si>
    <t>Logo is alligned with header</t>
  </si>
  <si>
    <t>Verify the same header used on whole pages.</t>
  </si>
  <si>
    <t>Header Section</t>
  </si>
  <si>
    <t>go to two trey website -&gt; tap to the header section-&gt; tap on the option pages-&gt;explore the same header</t>
  </si>
  <si>
    <t>Header should be same for whole pages</t>
  </si>
  <si>
    <t xml:space="preserve">Header is same for the all pages </t>
  </si>
  <si>
    <t>Verify header is sticky on the whole page</t>
  </si>
  <si>
    <t>The header section should be sticky</t>
  </si>
  <si>
    <t>Header section is not stcky</t>
  </si>
  <si>
    <t>Verify whether all links ashould be opening on the header or not</t>
  </si>
  <si>
    <t>Available links on the headers</t>
  </si>
  <si>
    <t>All of the elements on the headers should be workable</t>
  </si>
  <si>
    <t>https://ibb.co/ZSkx3dp</t>
  </si>
  <si>
    <t>Verify on click on the link on the header the correct  page should be open</t>
  </si>
  <si>
    <t>Pages on the headers</t>
  </si>
  <si>
    <t>go to two trey website -&gt; tap to the header section-&gt; tap on the option pages-&gt;explore the page's path</t>
  </si>
  <si>
    <t>redirect to the correct pages</t>
  </si>
  <si>
    <t>Verify the homne page should be open on clicking on the logo on all pages</t>
  </si>
  <si>
    <t>Website Logo</t>
  </si>
  <si>
    <t>go to two trey website -&gt; tap the logo on the header section</t>
  </si>
  <si>
    <t>redirect to the home page</t>
  </si>
  <si>
    <t>successfully directing to the home page</t>
  </si>
  <si>
    <t>Verify on the moouse hover color change or not for the link added on the header menu.</t>
  </si>
  <si>
    <t xml:space="preserve"> cursor </t>
  </si>
  <si>
    <t>go to two trey website -&gt; hover on the header section</t>
  </si>
  <si>
    <t>during the hovering color should be changed of the elements section on header</t>
  </si>
  <si>
    <t xml:space="preserve">the color is changing </t>
  </si>
  <si>
    <t>Verify header and body section should not look the same. the header and body section must distinguish</t>
  </si>
  <si>
    <t>color, patterns,allignment</t>
  </si>
  <si>
    <t>header and body section must not be same</t>
  </si>
  <si>
    <t>body and header is not the same</t>
  </si>
  <si>
    <t>TC_HOME_PAGE_001</t>
  </si>
  <si>
    <t>TC_HOME_PAGE_002</t>
  </si>
  <si>
    <t>TC_HOME_PAGE_003</t>
  </si>
  <si>
    <t>TC_HOME_PAGE_004</t>
  </si>
  <si>
    <t>TC_HOME_PAGE_005</t>
  </si>
  <si>
    <t>TC_HOME_PAGE_006</t>
  </si>
  <si>
    <t>TC_HOME_PAGE_007</t>
  </si>
  <si>
    <t xml:space="preserve">Verify that all the elements(butons,icons,logos) on the webpage are aligned or not </t>
  </si>
  <si>
    <t>Get In Touch, Play Video</t>
  </si>
  <si>
    <t>two type of buttons should be alligned</t>
  </si>
  <si>
    <t>there are two button with one name</t>
  </si>
  <si>
    <t>https://ibb.co/LDTHJ66</t>
  </si>
  <si>
    <t>Verify that the number of buttons added or not</t>
  </si>
  <si>
    <t>Get In Touch, about us,send message</t>
  </si>
  <si>
    <t>go to two trey website -&gt; tap on the home section on the header</t>
  </si>
  <si>
    <t>buttons should be added</t>
  </si>
  <si>
    <t>buttons are added</t>
  </si>
  <si>
    <t xml:space="preserve">
Verify the get in touch button</t>
  </si>
  <si>
    <t>Get In Touch</t>
  </si>
  <si>
    <t>go to two trey website -&gt; tap on the home section on the header -&gt;  scroll down to advitesers section</t>
  </si>
  <si>
    <t>this button should be redirect to a related page</t>
  </si>
  <si>
    <t xml:space="preserve">can't redirect to a defined page </t>
  </si>
  <si>
    <t>https://ibb.co/B6WZWhD</t>
  </si>
  <si>
    <t>Verify the about us button</t>
  </si>
  <si>
    <t>about us</t>
  </si>
  <si>
    <t>Verify the Add Website button</t>
  </si>
  <si>
    <t>Add Website</t>
  </si>
  <si>
    <t>go to two trey website -&gt; tap on the home section on the header -&gt;  scroll down to publishers section</t>
  </si>
  <si>
    <t>Verify the send button</t>
  </si>
  <si>
    <t>Send</t>
  </si>
  <si>
    <t>go to two trey website -&gt; tap on the home section on the header -&gt;  scroll down to contact us section</t>
  </si>
  <si>
    <t>This button should submit or send the submitted form</t>
  </si>
  <si>
    <t>Submitted the form successfully</t>
  </si>
  <si>
    <t>Verify the scroll-up icons</t>
  </si>
  <si>
    <t>scroll up icon</t>
  </si>
  <si>
    <t>go to two trey website -&gt; tap on the home section on the header -&gt;  scroll down to the footer</t>
  </si>
  <si>
    <t>page should start from the home page</t>
  </si>
  <si>
    <t>successfully STARTING</t>
  </si>
  <si>
    <t>TC_HOME_PAGE_008</t>
  </si>
  <si>
    <t>Verify the cards with contents</t>
  </si>
  <si>
    <t xml:space="preserve">social Ads,email,search Ads,Push card,
Pop up,Display 
</t>
  </si>
  <si>
    <t>cards should have own
contents</t>
  </si>
  <si>
    <t xml:space="preserve">no contents are 
available </t>
  </si>
  <si>
    <t>Pop-up</t>
  </si>
  <si>
    <t>go to two trey website -&gt; tap 
on the home section on the 
header -&gt; scroll down to the
 high impact services</t>
  </si>
  <si>
    <t>Verify the PopUp card logo</t>
  </si>
  <si>
    <t>logo should be same as email card's logo</t>
  </si>
  <si>
    <t>logo is as same as push and social ads</t>
  </si>
  <si>
    <t>Verify the Display card logo</t>
  </si>
  <si>
    <t xml:space="preserve">Display </t>
  </si>
  <si>
    <t>logo should be same as search ads card's logo</t>
  </si>
  <si>
    <t>https://ibb.co/2SxpdZz</t>
  </si>
  <si>
    <t>TC_HOME_PAGE_009</t>
  </si>
  <si>
    <t>TC_HOME_PAGE_010</t>
  </si>
  <si>
    <t>TC_HOME_PAGE_011</t>
  </si>
  <si>
    <t>Verify the icons at the left side of
high-impact verticals section</t>
  </si>
  <si>
    <t>icon</t>
  </si>
  <si>
    <t>go to two trey website -&gt; tap 
on the home section on the 
header -&gt; scroll down to the
high impact services section</t>
  </si>
  <si>
    <t>an icon should be labeled at the left side</t>
  </si>
  <si>
    <t>no icon is labaled at 
the left side</t>
  </si>
  <si>
    <t>Verify the content of the card under high-impact verticals</t>
  </si>
  <si>
    <t>browser extensions, desktop software,mobile apps,push notification.sweepstakes,
lead generation</t>
  </si>
  <si>
    <t>content should be linked with the cards and redirect to a page</t>
  </si>
  <si>
    <t>content is not available</t>
  </si>
  <si>
    <t>https://ibb.co/pKb022D</t>
  </si>
  <si>
    <t>TC_HOME_PAGE_012</t>
  </si>
  <si>
    <t>TC_HOME_PAGE_013</t>
  </si>
  <si>
    <t>Verify the articles &amp; resources 
are linked</t>
  </si>
  <si>
    <t>content should be
linked with the cards 
and redirect to a page</t>
  </si>
  <si>
    <t>redirecting to the page</t>
  </si>
  <si>
    <t>TC_HOME_PAGE_014</t>
  </si>
  <si>
    <t>Verify the articles &amp; resources 
cards are labeled correctly</t>
  </si>
  <si>
    <t>success and love- How to have it All</t>
  </si>
  <si>
    <t>go to two trey website -&gt; tap 
on the home section on the 
header -&gt; scroll down to the
articles &amp; resources section</t>
  </si>
  <si>
    <t>cards should be labeled
with success and love-
how to have it all</t>
  </si>
  <si>
    <t>labeled with long 
established</t>
  </si>
  <si>
    <t>long established.long established two,
long established-three</t>
  </si>
  <si>
    <t>labeled with long 
established two</t>
  </si>
  <si>
    <t>TC_HOME_PAGE_015</t>
  </si>
  <si>
    <t>TC_HOME_PAGE_016</t>
  </si>
  <si>
    <t>cards should be labeled with success and love-how to have it all</t>
  </si>
  <si>
    <t>labeled with long 
established three</t>
  </si>
  <si>
    <t>https://ibb.co/RB21TD0</t>
  </si>
  <si>
    <t>TC_HOME_PAGE_017</t>
  </si>
  <si>
    <t>Verify the cards labeled with
bold dates</t>
  </si>
  <si>
    <t>26 Jan,2023</t>
  </si>
  <si>
    <t>date should be labeled 
with bold format</t>
  </si>
  <si>
    <t>date is not bold with</t>
  </si>
  <si>
    <t>https://ibb.co/7yjgmnc</t>
  </si>
  <si>
    <t>TC_ABOUT_001</t>
  </si>
  <si>
    <t>TC_ABOUT_002</t>
  </si>
  <si>
    <t>TC_ABOUT_003</t>
  </si>
  <si>
    <t>TC_ABOUT_004</t>
  </si>
  <si>
    <t>TC_ABOUT_005</t>
  </si>
  <si>
    <t>TC_ABOUT_006</t>
  </si>
  <si>
    <t>TC_ABOUT_007</t>
  </si>
  <si>
    <t>Chechking the title is 
relatable or not</t>
  </si>
  <si>
    <t>Page Title</t>
  </si>
  <si>
    <t>Test Cases for the Home Page Module</t>
  </si>
  <si>
    <t>Test Cases for the About Page Module</t>
  </si>
  <si>
    <t>go to two trey website -&gt; tap on the about section</t>
  </si>
  <si>
    <t>title should be find the match</t>
  </si>
  <si>
    <t>Can find the match</t>
  </si>
  <si>
    <t>checking the title paragraph</t>
  </si>
  <si>
    <t>paragraph under the title</t>
  </si>
  <si>
    <t>go to two trey website -&gt; tap on the about section -&gt; paragraph under title</t>
  </si>
  <si>
    <t>paragraph should be updated one</t>
  </si>
  <si>
    <t>not updated</t>
  </si>
  <si>
    <t>button</t>
  </si>
  <si>
    <t>go to two trey website -&gt; tap on the about section -&gt; tap on the read our story button</t>
  </si>
  <si>
    <t>after clicking this button redirect to a new page</t>
  </si>
  <si>
    <t>redirecting failed</t>
  </si>
  <si>
    <t>https://ibb.co/Tv9k2Jt</t>
  </si>
  <si>
    <t>https://ibb.co/B6BhXGg</t>
  </si>
  <si>
    <t>checking the read our story button</t>
  </si>
  <si>
    <t>checking the join our team</t>
  </si>
  <si>
    <t>go to two trey website -&gt; tap on the about section -&gt; tap on the join our team button</t>
  </si>
  <si>
    <t>https://ibb.co/ZMBv0tm</t>
  </si>
  <si>
    <t>checking the impact in number</t>
  </si>
  <si>
    <t>teams members</t>
  </si>
  <si>
    <t>go to two trey website -&gt; tap on
 the about section -&gt;scroll down to impact in numbers section</t>
  </si>
  <si>
    <t>clients world wide template shouid be visible</t>
  </si>
  <si>
    <t>clients worldwide is replaced with team members</t>
  </si>
  <si>
    <t>https://ibb.co/1v09kqN</t>
  </si>
  <si>
    <t>chcking the paragraph under core values</t>
  </si>
  <si>
    <t>paragraph</t>
  </si>
  <si>
    <t>paragraph should be formatted  in desgined format</t>
  </si>
  <si>
    <t xml:space="preserve">not formatted accordingly </t>
  </si>
  <si>
    <t>https://ibb.co/RS0mjNs</t>
  </si>
  <si>
    <t>go to two trey website -&gt; tap on
the about section -&gt;scroll down to the core values behind secion</t>
  </si>
  <si>
    <t>checking the read our story button under advertisers</t>
  </si>
  <si>
    <t>go to two trey website -&gt; tap on
the about section -&gt;scroll down to the advitisers secion</t>
  </si>
  <si>
    <t>after clicking this button 
redirect to a new page</t>
  </si>
  <si>
    <t>https://ibb.co/WcBYstC</t>
  </si>
  <si>
    <t>chechkng the cards 
are providing valid 
info or not</t>
  </si>
  <si>
    <t>customer first, execuition, growth,
passion,pantuality,excellence</t>
  </si>
  <si>
    <t>thsese cards should be contain valid info</t>
  </si>
  <si>
    <t>containing valid info</t>
  </si>
  <si>
    <t>Test Cases for the Publisher Module</t>
  </si>
  <si>
    <t>TC_PUBLISHER_001</t>
  </si>
  <si>
    <t>TC_PUBLISHER_002</t>
  </si>
  <si>
    <t>TC_PUBLISHER_003</t>
  </si>
  <si>
    <t>TC_PUBLISHER_004</t>
  </si>
  <si>
    <t xml:space="preserve">TC_PUBLISHER_005
</t>
  </si>
  <si>
    <t>Chechking the title according to the documention</t>
  </si>
  <si>
    <t>Title</t>
  </si>
  <si>
    <t>go to two trey website -&gt; tap on the publisher section</t>
  </si>
  <si>
    <t>title should be entitle as docymention</t>
  </si>
  <si>
    <t>Successfully entitled</t>
  </si>
  <si>
    <t>checking the paragraphn under the 
title</t>
  </si>
  <si>
    <t>paragraph should be created as documentation</t>
  </si>
  <si>
    <t>checking the functionality of the Add website button</t>
  </si>
  <si>
    <t>Button</t>
  </si>
  <si>
    <t>go to two trey website -&gt; tap on the publisher section -&gt; tap on the add website button</t>
  </si>
  <si>
    <t>this button should be redirect to the another page</t>
  </si>
  <si>
    <t>can't redirect</t>
  </si>
  <si>
    <t>https://ibb.co/yVyCP7s</t>
  </si>
  <si>
    <t>checking the request a quote button</t>
  </si>
  <si>
    <t>go to two trey website -&gt; tap on the publisher section -&gt; tap on the request a quote button</t>
  </si>
  <si>
    <t>https://ibb.co/dLhjqST</t>
  </si>
  <si>
    <t>checking cards are alligned according to the documention</t>
  </si>
  <si>
    <t>cards</t>
  </si>
  <si>
    <t>go to two trey website -&gt; tap on the publisher section -&gt; scroll down to the our verticals section</t>
  </si>
  <si>
    <t xml:space="preserve">cards should be alligend </t>
  </si>
  <si>
    <t xml:space="preserve">cards are alligned </t>
  </si>
  <si>
    <t xml:space="preserve">TC_PUBLISHER_006
</t>
  </si>
  <si>
    <t xml:space="preserve">checking the learn more linked text </t>
  </si>
  <si>
    <t>linked text</t>
  </si>
  <si>
    <t>go to two trey website -&gt; 
tap on the publisher section -&gt;scroll down to the our verticals section</t>
  </si>
  <si>
    <t>after clicking the text new page should be appeared</t>
  </si>
  <si>
    <t>no pages is appeared</t>
  </si>
  <si>
    <t>https://ibb.co/xFhpYd1</t>
  </si>
  <si>
    <t xml:space="preserve">
</t>
  </si>
  <si>
    <t>26/03/2023</t>
  </si>
  <si>
    <t>Test Cases for the Advertiser Page Module</t>
  </si>
  <si>
    <t>TC_ADVERTISER_001</t>
  </si>
  <si>
    <t>TC_ADVERTISER_002</t>
  </si>
  <si>
    <t>TC_ADVERTISER_003</t>
  </si>
  <si>
    <t>TC_ADVERTISER_004</t>
  </si>
  <si>
    <t>TC_ADVERTISER_005</t>
  </si>
  <si>
    <t>TC_ADVERTISER_006</t>
  </si>
  <si>
    <t>TC_ADVERTISER_007</t>
  </si>
  <si>
    <t xml:space="preserve">checking the title </t>
  </si>
  <si>
    <t>go to two trey website -&gt; tap on the advertiser section</t>
  </si>
  <si>
    <t>title should be as documentation</t>
  </si>
  <si>
    <t>checking paragraph under the title</t>
  </si>
  <si>
    <t>paragraphn</t>
  </si>
  <si>
    <t>paragraph should be as documentation</t>
  </si>
  <si>
    <t>paragraph is successfully created as documentation</t>
  </si>
  <si>
    <t>title is successfully created as documentation</t>
  </si>
  <si>
    <t xml:space="preserve">verifying the request a quote button is alliigned </t>
  </si>
  <si>
    <t>request a quote button should be alligend to the left side</t>
  </si>
  <si>
    <t>button is alligned to the right side</t>
  </si>
  <si>
    <t xml:space="preserve">verifying the join our team button is alliigned </t>
  </si>
  <si>
    <t>join our team button should be alligend to the right side</t>
  </si>
  <si>
    <t>join our team button is not added as documentation</t>
  </si>
  <si>
    <t>checkting the functionalitry of request
a quote button</t>
  </si>
  <si>
    <t>go to two trey website -&gt; tap on the advertiser section -&gt; tap on the request a quote button</t>
  </si>
  <si>
    <t>button should redirect a new page</t>
  </si>
  <si>
    <t>unable to redirect</t>
  </si>
  <si>
    <t>https://ibb.co/V3XCFTm</t>
  </si>
  <si>
    <t>https://ibb.co/bFQt8Mt</t>
  </si>
  <si>
    <t>Checking the cards are alligned as the documentation</t>
  </si>
  <si>
    <t>go to two trey website -&gt; tap on the advertiser section -&gt; scroll down to the bullet proof process to win the social media section</t>
  </si>
  <si>
    <t>should be alligned as documenation</t>
  </si>
  <si>
    <t>Successfully alligned</t>
  </si>
  <si>
    <t xml:space="preserve">
onboarding &amp; integration, Launch &amp; execution , measure &amp; scale,onboarding &amp; integration,email , search Ads, push,pop,display</t>
  </si>
  <si>
    <t xml:space="preserve">checking the icons of this page are relevant to the documentation </t>
  </si>
  <si>
    <t>icons</t>
  </si>
  <si>
    <t>go to two trey website -&gt;
tap on the advertiser section -&gt;
scroll down to the bullet proof process to win the 
social media section</t>
  </si>
  <si>
    <t>should be relevant to the 
title</t>
  </si>
  <si>
    <t>icons are relevant</t>
  </si>
  <si>
    <t>Test Cases for the Blog &amp; Resources Module</t>
  </si>
  <si>
    <t>TC_BLOG_&amp;_RESOURCES_001</t>
  </si>
  <si>
    <t>TC_BLOG_&amp;_RESOURCES_002</t>
  </si>
  <si>
    <t>TC_BLOG_&amp;_RESOURCES_003</t>
  </si>
  <si>
    <t>TC_BLOG_&amp;_RESOURCES_004</t>
  </si>
  <si>
    <t>TC_BLOG_&amp;_RESOURCES_005</t>
  </si>
  <si>
    <t>TC_BLOG_&amp;_RESOURCES_006</t>
  </si>
  <si>
    <t>TC_BLOG_&amp;_RESOURCES_007</t>
  </si>
  <si>
    <t>TC_BLOG_&amp;_RESOURCES_008</t>
  </si>
  <si>
    <t>TC_BLOG_&amp;_RESOURCES_009</t>
  </si>
  <si>
    <t>TC_BLOG_&amp;_RESOURCES_010</t>
  </si>
  <si>
    <t>Checking the title is relavant to the documentation</t>
  </si>
  <si>
    <t>Title : BLOG &amp; RESOURCES</t>
  </si>
  <si>
    <t>documented tilte : ADVERRISER</t>
  </si>
  <si>
    <t>go to two trey website -&gt; tap on the Blog &amp; Resources section</t>
  </si>
  <si>
    <t>title should be relevant to the documentation</t>
  </si>
  <si>
    <t>checking the cards are alligned</t>
  </si>
  <si>
    <t xml:space="preserve">
long established, long-established Two, Long established Three, success and love - How to Have it all</t>
  </si>
  <si>
    <t>go to two trey website -&gt; tap on the Blog &amp; Resources section -&gt; scroll down to the cards section</t>
  </si>
  <si>
    <t>should be alligned</t>
  </si>
  <si>
    <t>Successfully alligend as documentation</t>
  </si>
  <si>
    <t>linked text should be redirect 
to the defined page as title</t>
  </si>
  <si>
    <t xml:space="preserve">verifying the linked text 
availibility by clicking on the title </t>
  </si>
  <si>
    <t>go to two trey website -&gt; tap
on the Blog &amp; Resources 
section</t>
  </si>
  <si>
    <t>redirect to the long established page</t>
  </si>
  <si>
    <t>read more</t>
  </si>
  <si>
    <t>go to two trey website -&gt; tap
on the Blog &amp; Resources 
section -&gt; click on the long established title</t>
  </si>
  <si>
    <t>successfully redirecting to the definefd page as documentation</t>
  </si>
  <si>
    <t>verifying the linked text 
availibility for long established by clicking on the reard more</t>
  </si>
  <si>
    <t>verifying the linked text 
availibility for success and love-How to have it all by clicking on the reard more</t>
  </si>
  <si>
    <t>go to two trey website -&gt; tap
on the Blog &amp; Resources 
section -&gt; click on the long established-Two title</t>
  </si>
  <si>
    <t>successfully redirecting to 
the definefd page as documentation</t>
  </si>
  <si>
    <t>verifying the linked text 
availibility for long established-Two
by clicking on the reard more</t>
  </si>
  <si>
    <t>successfully redirecting to
the definefd page as documentation</t>
  </si>
  <si>
    <t>go to two trey website -&gt; tap
on the Blog &amp; Resources 
section -&gt; click on the long established-Three title</t>
  </si>
  <si>
    <t>TC_BLOG_&amp;_RESOURCES_011</t>
  </si>
  <si>
    <t>TC_BLOG_&amp;_RESOURCES_012</t>
  </si>
  <si>
    <t>TC_BLOG_&amp;_RESOURCES_013</t>
  </si>
  <si>
    <t>TC_BLOG_&amp;_RESOURCES_014</t>
  </si>
  <si>
    <t>TC_BLOG_&amp;_RESOURCES_015</t>
  </si>
  <si>
    <t>TC_BLOG_&amp;_RESOURCES_016</t>
  </si>
  <si>
    <t>TC_BLOG_&amp;_RESOURCES_017</t>
  </si>
  <si>
    <t>go to two trey website -&gt; tap
on the Blog &amp; Resources 
section -&gt; click on the read more linked text of success and love - How to 
Have it all</t>
  </si>
  <si>
    <t>go to two trey website -&gt; tap
on the Blog &amp; Resources 
section -&gt; click on the read more linked text of long established</t>
  </si>
  <si>
    <t>go to two trey website -&gt; tap
on the Blog &amp; Resources 
section -&gt; click on the read more linked text of long established-Two</t>
  </si>
  <si>
    <t>go to two trey website -&gt; tap
on the Blog &amp; Resources 
section -&gt; click on the read more linked text of long established-Three</t>
  </si>
  <si>
    <t xml:space="preserve">verifying the linked text 
availibility  by clicking on the title </t>
  </si>
  <si>
    <t>title: long established</t>
  </si>
  <si>
    <t>title: long established-Two</t>
  </si>
  <si>
    <t>title: long established-Three</t>
  </si>
  <si>
    <t>title: success and love - How to Have it all</t>
  </si>
  <si>
    <t>title: success and love -
 How to Have it all</t>
  </si>
  <si>
    <t>go to two trey website -&gt; tap
on the Blog &amp; Resources 
section -&gt; scroll down -&gt;click on the read more linked text of long established-Three</t>
  </si>
  <si>
    <t>title: success and love - 
How to Have it all</t>
  </si>
  <si>
    <t>go to two trey website -&gt; tap
on the Blog &amp; Resources 
section -&gt; scroll down to the most popular section -&gt;click on the defines title</t>
  </si>
  <si>
    <t>verifying most popular
section</t>
  </si>
  <si>
    <t>verifying read more 
linked text of most popular section</t>
  </si>
  <si>
    <t>go to two trey website -&gt; tap
on the Blog &amp; Resources 
section -&gt; scroll down to the most popular section -&gt;click on the read more text</t>
  </si>
  <si>
    <t>verifying the tiles is
relevant to the documentation</t>
  </si>
  <si>
    <t>Title: Subscribe to the
 Newsletter</t>
  </si>
  <si>
    <t xml:space="preserve">go to two trey website -&gt; tap
on the Blog &amp; Resources 
section -&gt; scroll down to the Subscribe to the Newsletter </t>
  </si>
  <si>
    <t>title should be relevant to the
 documentation</t>
  </si>
  <si>
    <t xml:space="preserve">checking the newletter
functionality without filling the fields </t>
  </si>
  <si>
    <t>first name,email field</t>
  </si>
  <si>
    <t>go to two trey website -&gt; tap
on the Blog &amp; Resources 
section -&gt; scroll down to the Subscribe to the Newsletter -&gt; tap on the subscribe now</t>
  </si>
  <si>
    <t>subscription shouild not be
allowed</t>
  </si>
  <si>
    <t>subscription not allowed</t>
  </si>
  <si>
    <t xml:space="preserve">checking the newletter 
functionality by filling one field </t>
  </si>
  <si>
    <t>TC_BLOG_&amp;_RESOURCES_018</t>
  </si>
  <si>
    <t>TC_BLOG_&amp;_RESOURCES_019</t>
  </si>
  <si>
    <t>TC_BLOG_&amp;_RESOURCES_020</t>
  </si>
  <si>
    <t>TC_BLOG_&amp;_RESOURCES_021</t>
  </si>
  <si>
    <t>TC_BLOG_&amp;_RESOURCES_022</t>
  </si>
  <si>
    <t>TC_BLOG_&amp;_RESOURCES_023</t>
  </si>
  <si>
    <t>first name</t>
  </si>
  <si>
    <t>go to two trey website -&gt; tap
on the Blog &amp; Resources 
section -&gt; scroll down to the Subscribe to the Newsletter -&gt; fill the first name field-&gt; tap on the subscribe now</t>
  </si>
  <si>
    <t>checking the newletter 
functionality by verifying proper notification</t>
  </si>
  <si>
    <t>message should be displayed 
for incomplete text field</t>
  </si>
  <si>
    <t xml:space="preserve">message displayed </t>
  </si>
  <si>
    <t xml:space="preserve">checking the newletter 
functionality by filling only email field </t>
  </si>
  <si>
    <t>rahul@gmail.com</t>
  </si>
  <si>
    <t>subscription is allowed</t>
  </si>
  <si>
    <t>checking successful submission message is visible</t>
  </si>
  <si>
    <t>rahul,p@gmail.com</t>
  </si>
  <si>
    <t xml:space="preserve">submission message should be eye catchy </t>
  </si>
  <si>
    <t>submission message is not
properly eye catchy</t>
  </si>
  <si>
    <t>null</t>
  </si>
  <si>
    <t>chechking the submission message is poping up[</t>
  </si>
  <si>
    <t>go to two trey website -&gt; tap
on the Blog &amp; Resources 
section -&gt; scroll down to the Subscribe to the Newsletter -&gt; fill up the first name field-&gt; fill up the email field with proper email -&gt; tap on the subscribe now</t>
  </si>
  <si>
    <t>go to two trey website -&gt; tap
on the Blog &amp; Resources 
section -&gt; scroll down to the Subscribe to the Newsletter -&gt; fill up the first name field-&gt; fill up the email field with prope -&gt; tap on the subscribe now</t>
  </si>
  <si>
    <t>go to two trey website -&gt; tap
on the Blog &amp; Resources 
section -&gt; scroll down to the Subscribe to the Newsletter -&gt; fill up the email field with proper email-&gt; tap on the subscribe now</t>
  </si>
  <si>
    <t xml:space="preserve">submission message should
 be displyed </t>
  </si>
  <si>
    <t>submission message is displayed</t>
  </si>
  <si>
    <t>Checking the subscribe functionality 
by filled the email field with capital letters</t>
  </si>
  <si>
    <t>EMAIL@G.COM</t>
  </si>
  <si>
    <t>go to two trey website -&gt; tap
on the Blog &amp; Resources 
section -&gt; scroll down to the Subscribe to the Newsletter -&gt; fill up the first name field-&gt; fill up the email field -&gt; tap on the subscribe now</t>
  </si>
  <si>
    <t>email address field should not
take capital letters</t>
  </si>
  <si>
    <t xml:space="preserve">subscribed </t>
  </si>
  <si>
    <t>Checking the subscribe functionality 
by filled the email field with wrong format</t>
  </si>
  <si>
    <t>paul@.com</t>
  </si>
  <si>
    <t>should be warn with a 
message</t>
  </si>
  <si>
    <t>warning message has shown</t>
  </si>
  <si>
    <t>Test Cases for the Contact Us Module</t>
  </si>
  <si>
    <t>27/03/2023</t>
  </si>
  <si>
    <t>TC_CONTACT_US_001</t>
  </si>
  <si>
    <t>TC_CONTACT_US_002</t>
  </si>
  <si>
    <t>TC_CONTACT_US_003</t>
  </si>
  <si>
    <t>TC_CONTACT_US_004</t>
  </si>
  <si>
    <t>TC_CONTACT_US_005</t>
  </si>
  <si>
    <t>TC_CONTACT_US_006</t>
  </si>
  <si>
    <t>TC_CONTACT_US_007</t>
  </si>
  <si>
    <t>TC_CONTACT_US_008</t>
  </si>
  <si>
    <t>TC_CONTACT_US_009</t>
  </si>
  <si>
    <t>TC_CONTACT_US_010</t>
  </si>
  <si>
    <t>TC_CONTACT_US_011</t>
  </si>
  <si>
    <t>TC_CONTACT_US_012</t>
  </si>
  <si>
    <t>verify that required fiedls should be displayed as specification</t>
  </si>
  <si>
    <t>first name,last name,email,my company,mesaage</t>
  </si>
  <si>
    <t xml:space="preserve">go to two trey website -&gt; tap on the contact us section </t>
  </si>
  <si>
    <t>fields are added according to the specification</t>
  </si>
  <si>
    <t>verify that parameters of fields as per specification or not</t>
  </si>
  <si>
    <t>height,width</t>
  </si>
  <si>
    <t>parameters of fileds should be created as documentation</t>
  </si>
  <si>
    <t>verify that patchholders in all fields is diplayes or not</t>
  </si>
  <si>
    <t>patchholders should be visible</t>
  </si>
  <si>
    <t>text box</t>
  </si>
  <si>
    <t>patchholders are visible in every field</t>
  </si>
  <si>
    <t>successfully created as documentation</t>
  </si>
  <si>
    <t>verify that send message button is displyed or not</t>
  </si>
  <si>
    <t xml:space="preserve">submit typed button should be labeld as send message </t>
  </si>
  <si>
    <t>the button is labeled as send</t>
  </si>
  <si>
    <t>verify that all fields are required
then warning message should be showing up</t>
  </si>
  <si>
    <t>required fileds</t>
  </si>
  <si>
    <t>go to two trey website -&gt; tap on the contact us section -&gt; tap on the send message button</t>
  </si>
  <si>
    <t>waring message should be showing up</t>
  </si>
  <si>
    <t>warning message is shoiwing</t>
  </si>
  <si>
    <t>https://ibb.co/pPnCR3Y</t>
  </si>
  <si>
    <t>verify that if user clicks on any filed then cursor should be displayed or not</t>
  </si>
  <si>
    <t>first name,last name,email,my company,mesaage fields</t>
  </si>
  <si>
    <t xml:space="preserve">go to two trey website -&gt; tap on the contact us section -&gt; tap on the first name field-&gt;  tap on the last name field -&gt; tap on the email field -&gt; tap on the my company field -&gt; tap on the mesaage filed  </t>
  </si>
  <si>
    <t xml:space="preserve">cursor should be displayed </t>
  </si>
  <si>
    <t>cursor is displaying</t>
  </si>
  <si>
    <t>verify that user is able to enter
maximum length is the name field or not</t>
  </si>
  <si>
    <t>first name,last name</t>
  </si>
  <si>
    <t>should be able to enter the maximum length of name</t>
  </si>
  <si>
    <t>taking the maximum length of
name</t>
  </si>
  <si>
    <t>verify that user is able to enter 
minimum length is the name 
field or not</t>
  </si>
  <si>
    <t xml:space="preserve">go to two trey website -&gt; tap on the
 contact us section -&gt; tap on the 
first name field-&gt;  tap on the last 
name field  </t>
  </si>
  <si>
    <t>taking the minimum length of
name</t>
  </si>
  <si>
    <t>verify that enter valid email 
address in the email field or not</t>
  </si>
  <si>
    <t>rahul@gmail,com</t>
  </si>
  <si>
    <t>should be able to enter the minimum length of name</t>
  </si>
  <si>
    <t>go to two trey website -&gt; tap on the
contact us section -&gt; tap on the 
first name field-&gt;  tap on the last 
name field -&gt; tap on the email field</t>
  </si>
  <si>
    <t>should be able to enter valid email 
address</t>
  </si>
  <si>
    <t>able to enter vaild email 
address</t>
  </si>
  <si>
    <t>verity that enter invaild email 
address in the email field or not</t>
  </si>
  <si>
    <t>dot@.com</t>
  </si>
  <si>
    <t>should not be able to enter invaild 
email address</t>
  </si>
  <si>
    <t>unable to enter invaild email
address</t>
  </si>
  <si>
    <t>TC_CONTACT_US_013</t>
  </si>
  <si>
    <t>TC_CONTACT_US_014</t>
  </si>
  <si>
    <t>TC_CONTACT_US_015</t>
  </si>
  <si>
    <t>verify that user is able to enter 
maximum length in the message text field or not</t>
  </si>
  <si>
    <t>message field</t>
  </si>
  <si>
    <t>go to two trey website -&gt; tap on the
contact us section -&gt; tap on the 
first name field-&gt;  tap on the last 
name field -&gt; tap on the email field
-&gt;write message in the message field</t>
  </si>
  <si>
    <t>should be able to write maximum
length of message</t>
  </si>
  <si>
    <t>able to enter maximum length 
of message in the message filed</t>
  </si>
  <si>
    <t>verify that user is able to enter
minimum length in the message text field or not</t>
  </si>
  <si>
    <t>should be able to write mInimum
length of message</t>
  </si>
  <si>
    <t>able to enter minimum length 
of message in the message filed</t>
  </si>
  <si>
    <t>verify that user is able to submit blank contact form or not</t>
  </si>
  <si>
    <t>blank form</t>
  </si>
  <si>
    <t xml:space="preserve">go to two trey website -&gt; tap on the 
contact us section-&gt;tap on  the send button </t>
  </si>
  <si>
    <t>unable to submit the form and warning message should be visible</t>
  </si>
  <si>
    <t>form is not submitted wthout 
filling the fields</t>
  </si>
  <si>
    <t>verify that user submit form successfully then successful message  should be diplayed</t>
  </si>
  <si>
    <t>form</t>
  </si>
  <si>
    <t xml:space="preserve">go to two trey website -&gt; tap on the 
contact us section-&gt;fill up the form-&gt;tap on  the send button </t>
  </si>
  <si>
    <t>form should be submitted with a 
successful message</t>
  </si>
  <si>
    <t>The form was sent successfully is displayed</t>
  </si>
  <si>
    <t>verify that submit the form 
without uncheck the checkbox 
of privacy policy</t>
  </si>
  <si>
    <t>check box</t>
  </si>
  <si>
    <t>form is not submitted without 
check the box</t>
  </si>
  <si>
    <t>form should not be submitted
without check the box</t>
  </si>
  <si>
    <t>TC_CONTACT_US_016</t>
  </si>
  <si>
    <t>verify that privacy policy linked
 list</t>
  </si>
  <si>
    <t xml:space="preserve"> privacy policy</t>
  </si>
  <si>
    <t>go to two trey website -&gt; tap on the 
contact us section-&gt;fill up the form-&gt;tap on the privacy policy linked text</t>
  </si>
  <si>
    <t>linked text should redirect to the 
privacy plicy page</t>
  </si>
  <si>
    <t>Test Cases for the Footer Module</t>
  </si>
  <si>
    <t>TC_FOOTER_001</t>
  </si>
  <si>
    <t>TC_FOOTER_002</t>
  </si>
  <si>
    <t>TC_FOOTER_003</t>
  </si>
  <si>
    <t>TC_FOOTER_004</t>
  </si>
  <si>
    <t>TC_FOOTER_005</t>
  </si>
  <si>
    <t>TC_FOOTER_006</t>
  </si>
  <si>
    <t>TC_FOOTER_007</t>
  </si>
  <si>
    <t>TC_FOOTER_008</t>
  </si>
  <si>
    <t>TC_FOOTER_009</t>
  </si>
  <si>
    <t>TC_FOOTER_010</t>
  </si>
  <si>
    <t>TC_FOOTER_011</t>
  </si>
  <si>
    <t>TC_FOOTER_012</t>
  </si>
  <si>
    <t>TC_FOOTER_013</t>
  </si>
  <si>
    <t>TC_FOOTER_014</t>
  </si>
  <si>
    <t>TC_FOOTER_015</t>
  </si>
  <si>
    <t>TC_FOOTER_016</t>
  </si>
  <si>
    <t>TC_FOOTER_017</t>
  </si>
  <si>
    <t>TC_FOOTER_018</t>
  </si>
  <si>
    <t>TC_FOOTER_019</t>
  </si>
  <si>
    <t>Footer</t>
  </si>
  <si>
    <t>go to two trey website -&gt; scroll down to the footer section</t>
  </si>
  <si>
    <t>verify the footer section is aligned at the end of the page</t>
  </si>
  <si>
    <t>footer should be aligned at the end of the page</t>
  </si>
  <si>
    <t>verify there should be no extra white space at the end of the footer on high screen resoulutions</t>
  </si>
  <si>
    <t xml:space="preserve">white space </t>
  </si>
  <si>
    <t>no extra white space should be at the end of the page</t>
  </si>
  <si>
    <t>there is no extra white space at the end of the page</t>
  </si>
  <si>
    <t>footer is aligned at the end of the page</t>
  </si>
  <si>
    <t>verify element is aligned at the footer section or not</t>
  </si>
  <si>
    <t>elements of website as documentation</t>
  </si>
  <si>
    <t>elements should be aligned as specification</t>
  </si>
  <si>
    <t>elements are aligned as specification</t>
  </si>
  <si>
    <t>verify footer section should be the same for all pages</t>
  </si>
  <si>
    <t>Footer section</t>
  </si>
  <si>
    <t>go to two trey website -&gt; scroll down to the footer section of every pages</t>
  </si>
  <si>
    <t>footer should be same to the every pages</t>
  </si>
  <si>
    <t>footer is same for every pages</t>
  </si>
  <si>
    <t>verify the logo shown at the footer</t>
  </si>
  <si>
    <t>logo : TWO TREY</t>
  </si>
  <si>
    <t>go to two trey website -&gt; scroll down to the footer section of every pages -&gt; check the logo is labeled</t>
  </si>
  <si>
    <t>logo should be labeled at the 
footer section</t>
  </si>
  <si>
    <t xml:space="preserve">logo is labeled </t>
  </si>
  <si>
    <t>verify the logo is aligned on the footer</t>
  </si>
  <si>
    <t>go to two trey website -&gt; scroll down to the footer section of every pages -&gt; check the logo is aligned</t>
  </si>
  <si>
    <t>logo should be aligend as documentation</t>
  </si>
  <si>
    <t>logo is alignd perfectly</t>
  </si>
  <si>
    <t>verify from any page on click on the logo home page should be open</t>
  </si>
  <si>
    <t>go to two trey website -&gt; scroll down to the footer section of every pages -&gt; click on the logo</t>
  </si>
  <si>
    <t>logo should be clickable and open the home page</t>
  </si>
  <si>
    <t>logo is not clickable</t>
  </si>
  <si>
    <t>verify clicking on the link correct pages should be loaded</t>
  </si>
  <si>
    <t>link elements</t>
  </si>
  <si>
    <t>go to two trey website -&gt; scroll down to the footer section of every pages -&gt; click on the link elements</t>
  </si>
  <si>
    <t>all the link elements should redirect to the defined pages</t>
  </si>
  <si>
    <t>few of the are redirecting to the defined oages rest of them are broken</t>
  </si>
  <si>
    <t>verify all social links with icons added on the footer</t>
  </si>
  <si>
    <t xml:space="preserve">socisal icons as documentation
</t>
  </si>
  <si>
    <t>all the documented social icons should be aligned</t>
  </si>
  <si>
    <t xml:space="preserve">social links are aligned </t>
  </si>
  <si>
    <t xml:space="preserve">
FAIL
</t>
  </si>
  <si>
    <t xml:space="preserve">
verify no spelling mistakes for the text on the footer</t>
  </si>
  <si>
    <t>text</t>
  </si>
  <si>
    <t>no spelling mistakes acceptable</t>
  </si>
  <si>
    <t xml:space="preserve">all the spelling of texts are right </t>
  </si>
  <si>
    <t xml:space="preserve">
PASS
</t>
  </si>
  <si>
    <t>verify there must be equal space for the elements links , button and social links from top
and bottom at the footer section</t>
  </si>
  <si>
    <t>elements and spacing</t>
  </si>
  <si>
    <t xml:space="preserve">spacing should be equal among the all links text or elemnts </t>
  </si>
  <si>
    <t>spacing are equal among the elemnts</t>
  </si>
  <si>
    <t>verify whether the subscription to the newsleteer section presents or not</t>
  </si>
  <si>
    <t>newsletter</t>
  </si>
  <si>
    <t>newsletter should be added</t>
  </si>
  <si>
    <t>newsletter is successfully added</t>
  </si>
  <si>
    <t xml:space="preserve">
PASS
</t>
  </si>
  <si>
    <t>verify whether the subcribe to the newsletter email field with subscribe present or not</t>
  </si>
  <si>
    <t>email field</t>
  </si>
  <si>
    <t>email field should be added</t>
  </si>
  <si>
    <t>email field is added</t>
  </si>
  <si>
    <t>verify validation on the email field for subscribing on the newsletter added or not</t>
  </si>
  <si>
    <t>validation of email</t>
  </si>
  <si>
    <t>go to two trey website -&gt; scroll down to the footer section-&gt; type the email to the newsletter email filed-&gt; click on the arrow for submit</t>
  </si>
  <si>
    <t>email validation should be checked</t>
  </si>
  <si>
    <t xml:space="preserve">validation is checked </t>
  </si>
  <si>
    <t>verify an error message shown on blank input on click on the subcribe button</t>
  </si>
  <si>
    <t>go to two trey website -&gt; scroll down to the footer section-&gt;  click on the arrow for submit</t>
  </si>
  <si>
    <t>please fill up the filed message should be shown</t>
  </si>
  <si>
    <t>showing the message for fill up the email field</t>
  </si>
  <si>
    <t>verify confirmation message should be shown if the user subscribed successfully</t>
  </si>
  <si>
    <t>confirmation message</t>
  </si>
  <si>
    <t>confirmation message should be displayed after submit the email</t>
  </si>
  <si>
    <t xml:space="preserve">verify that confirmation  message should be eye catchy </t>
  </si>
  <si>
    <t>confirmation message should be eye cathcy</t>
  </si>
  <si>
    <t>confirmation message is not eye catchy</t>
  </si>
  <si>
    <t>verify mouse cursor changes from a pointer to a hand on the link</t>
  </si>
  <si>
    <t>mouse cursor</t>
  </si>
  <si>
    <t>go to two trey website -&gt; scroll down to the footer section-&gt; point the cursor to the every link text or elements</t>
  </si>
  <si>
    <t>mourse cursor should be chenges from cursor to hand pointer</t>
  </si>
  <si>
    <t>changes successfully</t>
  </si>
  <si>
    <t xml:space="preserve">
verify whether the copyright section is added to the footer or not</t>
  </si>
  <si>
    <t xml:space="preserve">copyright </t>
  </si>
  <si>
    <t>copyright should be visible</t>
  </si>
  <si>
    <t>copyright is not added</t>
  </si>
  <si>
    <t>Test Cases for the Header Module</t>
  </si>
  <si>
    <t>24/03/2021</t>
  </si>
  <si>
    <t>25/03/2023</t>
  </si>
  <si>
    <t>workable</t>
  </si>
  <si>
    <t>fields should be added</t>
  </si>
  <si>
    <t>succesfully message is showing</t>
  </si>
  <si>
    <t>Company Name</t>
  </si>
  <si>
    <t>https://ibb.co/B3Q1SRr</t>
  </si>
  <si>
    <t>Developer Name</t>
  </si>
  <si>
    <t>Submitted To</t>
  </si>
  <si>
    <t>Anjum Jarif</t>
  </si>
  <si>
    <t>Shuvo Islam</t>
  </si>
  <si>
    <t>Chrome</t>
  </si>
  <si>
    <t>Jumatechs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</si>
</sst>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</font>
    <font>
      <u/>
      <sz val="10"/>
      <color theme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8"/>
      <name val="Arial"/>
    </font>
  </fonts>
  <fills count="1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rgb="FFD6E3BC"/>
      </patternFill>
    </fill>
    <fill>
      <patternFill patternType="solid">
        <fgColor rgb="FFFF0000"/>
        <bgColor indexed="64"/>
      </patternFill>
    </fill>
    <fill>
      <patternFill patternType="solid">
        <fgColor rgb="FF89DF63"/>
        <bgColor rgb="FF00FF00"/>
      </patternFill>
    </fill>
    <fill>
      <patternFill patternType="solid">
        <fgColor rgb="FF5CCD29"/>
        <bgColor indexed="64"/>
      </patternFill>
    </fill>
    <fill>
      <patternFill patternType="solid">
        <fgColor rgb="FF89DF63"/>
        <bgColor indexed="64"/>
      </patternFill>
    </fill>
    <fill>
      <patternFill patternType="solid">
        <fgColor rgb="FF76DB49"/>
        <bgColor indexed="64"/>
      </patternFill>
    </fill>
    <fill>
      <patternFill patternType="solid">
        <fgColor rgb="FFD6E3BC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8" xfId="0" quotePrefix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1" quotePrefix="1" applyFont="1" applyBorder="1" applyAlignment="1">
      <alignment vertical="center"/>
    </xf>
    <xf numFmtId="0" fontId="9" fillId="0" borderId="1" xfId="1" quotePrefix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8" xfId="0" quotePrefix="1" applyFont="1" applyBorder="1" applyAlignment="1">
      <alignment vertical="center" wrapText="1"/>
    </xf>
    <xf numFmtId="0" fontId="1" fillId="0" borderId="8" xfId="1" applyBorder="1" applyAlignment="1">
      <alignment vertical="center"/>
    </xf>
    <xf numFmtId="0" fontId="6" fillId="0" borderId="8" xfId="0" quotePrefix="1" applyFont="1" applyBorder="1" applyAlignment="1">
      <alignment vertical="top" wrapText="1"/>
    </xf>
    <xf numFmtId="0" fontId="5" fillId="2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2" fillId="11" borderId="8" xfId="0" applyFont="1" applyFill="1" applyBorder="1" applyAlignment="1">
      <alignment vertical="center"/>
    </xf>
    <xf numFmtId="0" fontId="13" fillId="0" borderId="8" xfId="1" applyFont="1" applyBorder="1" applyAlignment="1">
      <alignment vertical="center"/>
    </xf>
    <xf numFmtId="0" fontId="3" fillId="12" borderId="8" xfId="0" applyFont="1" applyFill="1" applyBorder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0" fontId="5" fillId="0" borderId="9" xfId="0" applyFont="1" applyBorder="1" applyAlignment="1">
      <alignment vertical="center" wrapText="1"/>
    </xf>
    <xf numFmtId="0" fontId="11" fillId="9" borderId="0" xfId="0" applyFont="1" applyFill="1" applyAlignment="1">
      <alignment horizontal="left" vertical="top" wrapText="1"/>
    </xf>
    <xf numFmtId="0" fontId="2" fillId="9" borderId="8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1" fillId="9" borderId="0" xfId="0" applyFont="1" applyFill="1" applyAlignment="1">
      <alignment vertical="center"/>
    </xf>
    <xf numFmtId="0" fontId="11" fillId="11" borderId="0" xfId="0" applyFont="1" applyFill="1" applyAlignment="1">
      <alignment vertical="center"/>
    </xf>
    <xf numFmtId="0" fontId="11" fillId="11" borderId="0" xfId="0" applyFont="1" applyFill="1" applyAlignment="1">
      <alignment horizontal="left" vertical="top" wrapText="1"/>
    </xf>
    <xf numFmtId="0" fontId="5" fillId="0" borderId="10" xfId="0" applyFont="1" applyBorder="1" applyAlignment="1">
      <alignment vertical="center"/>
    </xf>
    <xf numFmtId="0" fontId="12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top"/>
    </xf>
    <xf numFmtId="0" fontId="5" fillId="0" borderId="8" xfId="0" applyFont="1" applyBorder="1" applyAlignment="1">
      <alignment wrapText="1"/>
    </xf>
    <xf numFmtId="0" fontId="15" fillId="9" borderId="8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4" fillId="11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/>
    </xf>
    <xf numFmtId="0" fontId="11" fillId="13" borderId="0" xfId="0" applyFont="1" applyFill="1" applyAlignment="1">
      <alignment vertical="center"/>
    </xf>
    <xf numFmtId="17" fontId="12" fillId="0" borderId="0" xfId="0" applyNumberFormat="1" applyFont="1" applyAlignment="1">
      <alignment horizontal="left" vertical="center"/>
    </xf>
    <xf numFmtId="17" fontId="1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11" fillId="11" borderId="0" xfId="0" applyFont="1" applyFill="1" applyAlignment="1">
      <alignment horizontal="left" vertical="center" wrapText="1"/>
    </xf>
    <xf numFmtId="0" fontId="14" fillId="9" borderId="0" xfId="0" applyFont="1" applyFill="1" applyAlignment="1">
      <alignment vertical="center" wrapText="1"/>
    </xf>
    <xf numFmtId="0" fontId="11" fillId="9" borderId="0" xfId="0" applyFont="1" applyFill="1" applyAlignment="1">
      <alignment wrapText="1"/>
    </xf>
    <xf numFmtId="0" fontId="11" fillId="11" borderId="0" xfId="0" applyFont="1" applyFill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horizontal="left" wrapText="1"/>
    </xf>
    <xf numFmtId="14" fontId="3" fillId="0" borderId="4" xfId="0" applyNumberFormat="1" applyFont="1" applyBorder="1" applyAlignment="1">
      <alignment vertical="center" wrapText="1"/>
    </xf>
    <xf numFmtId="0" fontId="3" fillId="14" borderId="6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4" borderId="4" xfId="0" applyFont="1" applyFill="1" applyBorder="1" applyAlignment="1">
      <alignment vertical="center" wrapText="1"/>
    </xf>
    <xf numFmtId="12" fontId="2" fillId="4" borderId="4" xfId="0" applyNumberFormat="1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60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D6E3BC"/>
      <color rgb="FFCDF1BD"/>
      <color rgb="FFE2F7D9"/>
      <color rgb="FFCAF1B9"/>
      <color rgb="FF5CCD29"/>
      <color rgb="FF89DF63"/>
      <color rgb="FF76DB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microsoft.com/office/2017/10/relationships/person" Target="persons/person2.xml"/><Relationship Id="rId3" Type="http://schemas.openxmlformats.org/officeDocument/2006/relationships/worksheet" Target="worksheets/sheet3.xml"/><Relationship Id="rId21" Type="http://schemas.microsoft.com/office/2017/10/relationships/person" Target="persons/person6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microsoft.com/office/2017/10/relationships/person" Target="persons/person1.xml"/><Relationship Id="rId2" Type="http://schemas.openxmlformats.org/officeDocument/2006/relationships/worksheet" Target="worksheets/sheet2.xml"/><Relationship Id="rId16" Type="http://schemas.microsoft.com/office/2017/10/relationships/person" Target="persons/person0.xml"/><Relationship Id="rId20" Type="http://schemas.microsoft.com/office/2017/10/relationships/person" Target="persons/pers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10/relationships/person" Target="persons/person4.xml"/><Relationship Id="rId10" Type="http://schemas.openxmlformats.org/officeDocument/2006/relationships/styles" Target="styles.xml"/><Relationship Id="rId19" Type="http://schemas.microsoft.com/office/2017/10/relationships/person" Target="persons/person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bb.co/ZSkx3d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bb.co/RB21TD0" TargetMode="External"/><Relationship Id="rId3" Type="http://schemas.openxmlformats.org/officeDocument/2006/relationships/hyperlink" Target="https://ibb.co/2SxpdZz" TargetMode="External"/><Relationship Id="rId7" Type="http://schemas.openxmlformats.org/officeDocument/2006/relationships/hyperlink" Target="https://ibb.co/RB21TD0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ibb.co/B6WZWhD" TargetMode="External"/><Relationship Id="rId1" Type="http://schemas.openxmlformats.org/officeDocument/2006/relationships/hyperlink" Target="https://ibb.co/LDTHJ66" TargetMode="External"/><Relationship Id="rId6" Type="http://schemas.openxmlformats.org/officeDocument/2006/relationships/hyperlink" Target="https://ibb.co/pKb022D" TargetMode="External"/><Relationship Id="rId11" Type="http://schemas.openxmlformats.org/officeDocument/2006/relationships/hyperlink" Target="https://ibb.co/B3Q1SRr" TargetMode="External"/><Relationship Id="rId5" Type="http://schemas.openxmlformats.org/officeDocument/2006/relationships/hyperlink" Target="https://ibb.co/2SxpdZz" TargetMode="External"/><Relationship Id="rId10" Type="http://schemas.openxmlformats.org/officeDocument/2006/relationships/hyperlink" Target="https://ibb.co/7yjgmnc" TargetMode="External"/><Relationship Id="rId4" Type="http://schemas.openxmlformats.org/officeDocument/2006/relationships/hyperlink" Target="https://ibb.co/2SxpdZz" TargetMode="External"/><Relationship Id="rId9" Type="http://schemas.openxmlformats.org/officeDocument/2006/relationships/hyperlink" Target="https://ibb.co/RB21TD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bb.co/ZMBv0t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ibb.co/B6BhXGg" TargetMode="External"/><Relationship Id="rId1" Type="http://schemas.openxmlformats.org/officeDocument/2006/relationships/hyperlink" Target="https://ibb.co/Tv9k2Jt" TargetMode="External"/><Relationship Id="rId6" Type="http://schemas.openxmlformats.org/officeDocument/2006/relationships/hyperlink" Target="https://ibb.co/WcBYstC" TargetMode="External"/><Relationship Id="rId5" Type="http://schemas.openxmlformats.org/officeDocument/2006/relationships/hyperlink" Target="https://ibb.co/RS0mjNs" TargetMode="External"/><Relationship Id="rId4" Type="http://schemas.openxmlformats.org/officeDocument/2006/relationships/hyperlink" Target="https://ibb.co/1v09kq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bb.co/xFhpYd1" TargetMode="External"/><Relationship Id="rId2" Type="http://schemas.openxmlformats.org/officeDocument/2006/relationships/hyperlink" Target="https://ibb.co/dLhjqST" TargetMode="External"/><Relationship Id="rId1" Type="http://schemas.openxmlformats.org/officeDocument/2006/relationships/hyperlink" Target="https://ibb.co/yVyCP7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ibb.co/bFQt8Mt" TargetMode="External"/><Relationship Id="rId2" Type="http://schemas.openxmlformats.org/officeDocument/2006/relationships/hyperlink" Target="https://ibb.co/bFQt8Mt" TargetMode="External"/><Relationship Id="rId1" Type="http://schemas.openxmlformats.org/officeDocument/2006/relationships/hyperlink" Target="https://ibb.co/V3XCFTm" TargetMode="External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paul@.com" TargetMode="External"/><Relationship Id="rId2" Type="http://schemas.openxmlformats.org/officeDocument/2006/relationships/hyperlink" Target="mailto:EMAIL@G.COM" TargetMode="External"/><Relationship Id="rId1" Type="http://schemas.openxmlformats.org/officeDocument/2006/relationships/hyperlink" Target="mailto:rahul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dot@.com" TargetMode="External"/><Relationship Id="rId2" Type="http://schemas.openxmlformats.org/officeDocument/2006/relationships/hyperlink" Target="mailto:rahul@gmail,com" TargetMode="External"/><Relationship Id="rId1" Type="http://schemas.openxmlformats.org/officeDocument/2006/relationships/hyperlink" Target="https://ibb.co/pPnCR3Y" TargetMode="External"/><Relationship Id="rId4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2060"/>
  </sheetPr>
  <dimension ref="A1:I977"/>
  <sheetViews>
    <sheetView showGridLines="0" tabSelected="1" zoomScaleNormal="100" workbookViewId="0">
      <pane ySplit="7" topLeftCell="A8" activePane="bottomLeft" state="frozen"/>
      <selection pane="bottomLeft" activeCell="C4" sqref="C4"/>
    </sheetView>
  </sheetViews>
  <sheetFormatPr defaultColWidth="14.44140625" defaultRowHeight="15" customHeight="1" x14ac:dyDescent="0.25"/>
  <cols>
    <col min="1" max="1" width="20.88671875" style="7" customWidth="1"/>
    <col min="2" max="2" width="28.33203125" style="7" customWidth="1"/>
    <col min="3" max="3" width="23.88671875" style="7" customWidth="1"/>
    <col min="4" max="4" width="34.88671875" style="7" customWidth="1"/>
    <col min="5" max="5" width="37.88671875" style="7" customWidth="1"/>
    <col min="6" max="6" width="28.33203125" style="7" customWidth="1"/>
    <col min="7" max="7" width="30" style="7" customWidth="1"/>
    <col min="8" max="8" width="17.77734375" style="7" customWidth="1"/>
    <col min="9" max="9" width="25" style="7" customWidth="1"/>
    <col min="10" max="10" width="17.33203125" style="7" customWidth="1"/>
    <col min="11" max="16384" width="14.44140625" style="7"/>
  </cols>
  <sheetData>
    <row r="1" spans="1:9" ht="18" customHeight="1" x14ac:dyDescent="0.25">
      <c r="A1" s="85" t="s">
        <v>4</v>
      </c>
      <c r="B1" s="82"/>
      <c r="C1" s="1" t="s">
        <v>33</v>
      </c>
      <c r="D1" s="4" t="s">
        <v>5</v>
      </c>
      <c r="E1" s="57" t="s">
        <v>34</v>
      </c>
      <c r="F1" s="6" t="s">
        <v>6</v>
      </c>
      <c r="G1" s="57" t="s">
        <v>34</v>
      </c>
      <c r="H1" s="86" t="s">
        <v>7</v>
      </c>
      <c r="I1" s="82"/>
    </row>
    <row r="2" spans="1:9" ht="27.6" x14ac:dyDescent="0.25">
      <c r="A2" s="84" t="s">
        <v>8</v>
      </c>
      <c r="B2" s="82"/>
      <c r="C2" s="2" t="s">
        <v>598</v>
      </c>
      <c r="D2" s="4" t="s">
        <v>9</v>
      </c>
      <c r="E2" s="5" t="s">
        <v>34</v>
      </c>
      <c r="F2" s="8" t="s">
        <v>10</v>
      </c>
      <c r="G2" s="5" t="s">
        <v>599</v>
      </c>
      <c r="H2" s="4" t="s">
        <v>0</v>
      </c>
      <c r="I2" s="40">
        <f>COUNTIF(G8:G45, "PASS")</f>
        <v>10</v>
      </c>
    </row>
    <row r="3" spans="1:9" ht="13.8" x14ac:dyDescent="0.25">
      <c r="A3" s="76" t="s">
        <v>607</v>
      </c>
      <c r="B3" s="79"/>
      <c r="C3" s="2" t="s">
        <v>608</v>
      </c>
      <c r="D3" s="9"/>
      <c r="E3" s="78"/>
      <c r="F3" s="8"/>
      <c r="G3" s="5"/>
      <c r="H3" s="9"/>
      <c r="I3" s="40"/>
    </row>
    <row r="4" spans="1:9" ht="18" customHeight="1" x14ac:dyDescent="0.25">
      <c r="A4" s="84" t="s">
        <v>604</v>
      </c>
      <c r="B4" s="82"/>
      <c r="C4" s="2" t="s">
        <v>611</v>
      </c>
      <c r="D4" s="9" t="s">
        <v>11</v>
      </c>
      <c r="E4" s="3" t="s">
        <v>27</v>
      </c>
      <c r="F4" s="1" t="s">
        <v>12</v>
      </c>
      <c r="G4" s="2">
        <v>1</v>
      </c>
      <c r="H4" s="10" t="s">
        <v>1</v>
      </c>
      <c r="I4" s="21">
        <f>COUNTIF(G9:G45, "Fail")</f>
        <v>1</v>
      </c>
    </row>
    <row r="5" spans="1:9" ht="18" customHeight="1" x14ac:dyDescent="0.25">
      <c r="A5" s="84" t="s">
        <v>13</v>
      </c>
      <c r="B5" s="82"/>
      <c r="C5" s="2" t="s">
        <v>609</v>
      </c>
      <c r="D5" s="9" t="s">
        <v>14</v>
      </c>
      <c r="E5" s="2" t="s">
        <v>27</v>
      </c>
      <c r="F5" s="1" t="s">
        <v>15</v>
      </c>
      <c r="G5" s="11" t="s">
        <v>3</v>
      </c>
      <c r="H5" s="4" t="s">
        <v>16</v>
      </c>
      <c r="I5" s="22">
        <f>COUNTIF(G9:G45, "WARNING")</f>
        <v>0</v>
      </c>
    </row>
    <row r="6" spans="1:9" ht="18" customHeight="1" x14ac:dyDescent="0.25">
      <c r="A6" s="81" t="s">
        <v>17</v>
      </c>
      <c r="B6" s="82"/>
      <c r="C6" s="81"/>
      <c r="D6" s="83"/>
      <c r="E6" s="83"/>
      <c r="F6" s="83"/>
      <c r="G6" s="82"/>
      <c r="H6" s="12" t="s">
        <v>18</v>
      </c>
      <c r="I6" s="23">
        <f>SUM(I2:I5:I4)</f>
        <v>11</v>
      </c>
    </row>
    <row r="7" spans="1:9" ht="18" customHeight="1" x14ac:dyDescent="0.25">
      <c r="A7" s="13" t="s">
        <v>19</v>
      </c>
      <c r="B7" s="14" t="s">
        <v>20</v>
      </c>
      <c r="C7" s="14" t="s">
        <v>23</v>
      </c>
      <c r="D7" s="14" t="s">
        <v>24</v>
      </c>
      <c r="E7" s="14" t="s">
        <v>21</v>
      </c>
      <c r="F7" s="14" t="s">
        <v>25</v>
      </c>
      <c r="G7" s="14" t="s">
        <v>22</v>
      </c>
      <c r="H7" s="14" t="s">
        <v>2</v>
      </c>
    </row>
    <row r="8" spans="1:9" ht="60.6" customHeight="1" x14ac:dyDescent="0.25">
      <c r="A8" s="15" t="s">
        <v>35</v>
      </c>
      <c r="B8" s="16" t="s">
        <v>44</v>
      </c>
      <c r="C8" s="36" t="s">
        <v>45</v>
      </c>
      <c r="D8" s="17" t="s">
        <v>46</v>
      </c>
      <c r="E8" s="16" t="s">
        <v>47</v>
      </c>
      <c r="F8" s="17" t="s">
        <v>48</v>
      </c>
      <c r="G8" s="18" t="s">
        <v>0</v>
      </c>
      <c r="H8" s="37"/>
    </row>
    <row r="9" spans="1:9" ht="13.8" x14ac:dyDescent="0.25">
      <c r="A9" s="15" t="s">
        <v>36</v>
      </c>
      <c r="B9" s="16" t="s">
        <v>49</v>
      </c>
      <c r="C9" s="38" t="s">
        <v>54</v>
      </c>
      <c r="D9" s="17" t="s">
        <v>46</v>
      </c>
      <c r="E9" s="16" t="s">
        <v>50</v>
      </c>
      <c r="F9" s="17" t="s">
        <v>51</v>
      </c>
      <c r="G9" s="18" t="s">
        <v>0</v>
      </c>
      <c r="H9" s="37"/>
    </row>
    <row r="10" spans="1:9" ht="27.6" x14ac:dyDescent="0.3">
      <c r="A10" s="15" t="s">
        <v>52</v>
      </c>
      <c r="B10" s="59" t="s">
        <v>53</v>
      </c>
      <c r="C10" s="27" t="s">
        <v>55</v>
      </c>
      <c r="D10" s="16" t="s">
        <v>56</v>
      </c>
      <c r="E10" s="16" t="s">
        <v>57</v>
      </c>
      <c r="F10" s="16" t="s">
        <v>58</v>
      </c>
      <c r="G10" s="39" t="s">
        <v>0</v>
      </c>
      <c r="H10" s="32"/>
    </row>
    <row r="11" spans="1:9" ht="41.4" x14ac:dyDescent="0.25">
      <c r="A11" s="19" t="s">
        <v>37</v>
      </c>
      <c r="B11" s="16" t="s">
        <v>59</v>
      </c>
      <c r="C11" s="58" t="s">
        <v>60</v>
      </c>
      <c r="D11" s="16" t="s">
        <v>61</v>
      </c>
      <c r="E11" s="16" t="s">
        <v>62</v>
      </c>
      <c r="F11" s="16" t="s">
        <v>63</v>
      </c>
      <c r="G11" s="41" t="s">
        <v>0</v>
      </c>
      <c r="H11" s="32"/>
    </row>
    <row r="12" spans="1:9" ht="41.4" x14ac:dyDescent="0.25">
      <c r="A12" s="15" t="s">
        <v>38</v>
      </c>
      <c r="B12" s="16" t="s">
        <v>64</v>
      </c>
      <c r="C12" s="27" t="s">
        <v>65</v>
      </c>
      <c r="D12" s="17" t="s">
        <v>66</v>
      </c>
      <c r="E12" s="16" t="s">
        <v>67</v>
      </c>
      <c r="F12" s="17" t="s">
        <v>68</v>
      </c>
      <c r="G12" s="18" t="s">
        <v>0</v>
      </c>
      <c r="H12" s="33"/>
    </row>
    <row r="13" spans="1:9" ht="27.6" x14ac:dyDescent="0.25">
      <c r="A13" s="19" t="s">
        <v>28</v>
      </c>
      <c r="B13" s="16" t="s">
        <v>69</v>
      </c>
      <c r="C13" s="42" t="s">
        <v>65</v>
      </c>
      <c r="D13" s="16" t="s">
        <v>61</v>
      </c>
      <c r="E13" s="16" t="s">
        <v>70</v>
      </c>
      <c r="F13" s="17" t="s">
        <v>71</v>
      </c>
      <c r="G13" s="60" t="s">
        <v>1</v>
      </c>
      <c r="H13" s="32"/>
    </row>
    <row r="14" spans="1:9" ht="41.4" x14ac:dyDescent="0.25">
      <c r="A14" s="19" t="s">
        <v>39</v>
      </c>
      <c r="B14" s="16" t="s">
        <v>72</v>
      </c>
      <c r="C14" s="42" t="s">
        <v>73</v>
      </c>
      <c r="D14" s="16" t="s">
        <v>66</v>
      </c>
      <c r="E14" s="16" t="s">
        <v>74</v>
      </c>
      <c r="F14" s="17" t="s">
        <v>601</v>
      </c>
      <c r="G14" s="43" t="s">
        <v>0</v>
      </c>
      <c r="H14" s="37" t="s">
        <v>75</v>
      </c>
    </row>
    <row r="15" spans="1:9" ht="41.4" x14ac:dyDescent="0.25">
      <c r="A15" s="15" t="s">
        <v>40</v>
      </c>
      <c r="B15" s="16" t="s">
        <v>76</v>
      </c>
      <c r="C15" s="26" t="s">
        <v>77</v>
      </c>
      <c r="D15" s="17" t="s">
        <v>78</v>
      </c>
      <c r="E15" s="16" t="s">
        <v>79</v>
      </c>
      <c r="F15" s="17" t="s">
        <v>79</v>
      </c>
      <c r="G15" s="18" t="s">
        <v>0</v>
      </c>
      <c r="H15" s="33"/>
    </row>
    <row r="16" spans="1:9" ht="41.4" x14ac:dyDescent="0.25">
      <c r="A16" s="20" t="s">
        <v>41</v>
      </c>
      <c r="B16" s="17" t="s">
        <v>80</v>
      </c>
      <c r="C16" s="61" t="s">
        <v>81</v>
      </c>
      <c r="D16" s="16" t="s">
        <v>82</v>
      </c>
      <c r="E16" s="17" t="s">
        <v>83</v>
      </c>
      <c r="F16" s="17" t="s">
        <v>84</v>
      </c>
      <c r="G16" s="43" t="s">
        <v>0</v>
      </c>
      <c r="H16" s="34"/>
    </row>
    <row r="17" spans="1:8" ht="41.4" x14ac:dyDescent="0.25">
      <c r="A17" s="15" t="s">
        <v>42</v>
      </c>
      <c r="B17" s="17" t="s">
        <v>85</v>
      </c>
      <c r="C17" s="37" t="s">
        <v>86</v>
      </c>
      <c r="D17" s="16" t="s">
        <v>87</v>
      </c>
      <c r="E17" s="17" t="s">
        <v>88</v>
      </c>
      <c r="F17" s="17" t="s">
        <v>89</v>
      </c>
      <c r="G17" s="43" t="s">
        <v>0</v>
      </c>
      <c r="H17" s="34"/>
    </row>
    <row r="18" spans="1:8" ht="55.2" x14ac:dyDescent="0.25">
      <c r="A18" s="15" t="s">
        <v>43</v>
      </c>
      <c r="B18" s="17" t="s">
        <v>90</v>
      </c>
      <c r="C18" s="28" t="s">
        <v>91</v>
      </c>
      <c r="D18" s="16" t="s">
        <v>46</v>
      </c>
      <c r="E18" s="17" t="s">
        <v>92</v>
      </c>
      <c r="F18" s="17" t="s">
        <v>93</v>
      </c>
      <c r="G18" s="62" t="s">
        <v>0</v>
      </c>
      <c r="H18" s="34"/>
    </row>
    <row r="19" spans="1:8" ht="13.8" x14ac:dyDescent="0.25">
      <c r="A19" s="15"/>
      <c r="B19" s="16"/>
      <c r="C19" s="24"/>
      <c r="D19" s="17"/>
      <c r="E19" s="16"/>
      <c r="F19" s="17"/>
      <c r="G19" s="18"/>
      <c r="H19" s="35"/>
    </row>
    <row r="20" spans="1:8" ht="13.8" x14ac:dyDescent="0.25">
      <c r="A20" s="20"/>
      <c r="B20" s="17"/>
      <c r="C20" s="28"/>
      <c r="D20" s="16"/>
      <c r="E20" s="17"/>
      <c r="F20" s="17"/>
      <c r="G20" s="17"/>
      <c r="H20" s="34"/>
    </row>
    <row r="21" spans="1:8" ht="13.8" x14ac:dyDescent="0.25">
      <c r="A21" s="15"/>
      <c r="B21" s="16"/>
      <c r="C21" s="28"/>
      <c r="D21" s="16"/>
      <c r="E21" s="16"/>
      <c r="F21" s="17"/>
      <c r="G21" s="17"/>
      <c r="H21" s="34"/>
    </row>
    <row r="22" spans="1:8" ht="13.8" x14ac:dyDescent="0.25">
      <c r="A22" s="15"/>
      <c r="B22" s="16"/>
      <c r="C22" s="31"/>
      <c r="D22" s="17"/>
      <c r="E22" s="16"/>
      <c r="F22" s="17"/>
      <c r="G22" s="18"/>
      <c r="H22" s="35"/>
    </row>
    <row r="23" spans="1:8" ht="13.8" x14ac:dyDescent="0.25">
      <c r="A23" s="20"/>
      <c r="B23" s="17"/>
      <c r="C23" s="28"/>
      <c r="D23" s="16"/>
      <c r="E23" s="17"/>
      <c r="F23" s="17"/>
      <c r="G23" s="17"/>
      <c r="H23" s="34"/>
    </row>
    <row r="24" spans="1:8" ht="13.8" x14ac:dyDescent="0.25">
      <c r="A24" s="15"/>
      <c r="B24" s="16"/>
      <c r="C24" s="28"/>
      <c r="D24" s="16"/>
      <c r="E24" s="16"/>
      <c r="F24" s="17"/>
      <c r="G24" s="17"/>
      <c r="H24" s="34"/>
    </row>
    <row r="25" spans="1:8" ht="13.8" x14ac:dyDescent="0.25">
      <c r="A25" s="15"/>
      <c r="B25" s="16"/>
      <c r="C25" s="30"/>
      <c r="D25" s="17"/>
      <c r="E25" s="16"/>
      <c r="F25" s="17"/>
      <c r="G25" s="18"/>
      <c r="H25" s="35"/>
    </row>
    <row r="26" spans="1:8" ht="13.8" x14ac:dyDescent="0.25">
      <c r="A26" s="20"/>
      <c r="B26" s="17"/>
      <c r="C26" s="28"/>
      <c r="D26" s="16"/>
      <c r="E26" s="17"/>
      <c r="F26" s="17"/>
      <c r="G26" s="17"/>
      <c r="H26" s="34"/>
    </row>
    <row r="27" spans="1:8" ht="13.8" x14ac:dyDescent="0.25">
      <c r="A27" s="15"/>
      <c r="B27" s="16"/>
      <c r="C27" s="28"/>
      <c r="D27" s="16"/>
      <c r="E27" s="16"/>
      <c r="F27" s="17"/>
      <c r="G27" s="17"/>
      <c r="H27" s="34"/>
    </row>
    <row r="28" spans="1:8" ht="13.8" x14ac:dyDescent="0.25">
      <c r="A28" s="15"/>
      <c r="B28" s="16"/>
      <c r="C28" s="29"/>
      <c r="D28" s="17"/>
      <c r="E28" s="16"/>
      <c r="F28" s="17"/>
      <c r="G28" s="18"/>
      <c r="H28" s="35"/>
    </row>
    <row r="29" spans="1:8" ht="13.8" x14ac:dyDescent="0.25">
      <c r="A29" s="20"/>
      <c r="B29" s="17"/>
      <c r="C29" s="28"/>
      <c r="D29" s="16"/>
      <c r="E29" s="17"/>
      <c r="F29" s="17"/>
      <c r="G29" s="17"/>
      <c r="H29" s="34"/>
    </row>
    <row r="30" spans="1:8" ht="13.8" x14ac:dyDescent="0.25">
      <c r="A30" s="15"/>
      <c r="B30" s="16"/>
      <c r="C30" s="28"/>
      <c r="D30" s="16"/>
      <c r="E30" s="16"/>
      <c r="F30" s="17"/>
      <c r="G30" s="17"/>
      <c r="H30" s="34"/>
    </row>
    <row r="31" spans="1:8" ht="13.8" x14ac:dyDescent="0.25">
      <c r="A31" s="15"/>
      <c r="B31" s="16"/>
      <c r="C31" s="29"/>
      <c r="D31" s="17"/>
      <c r="E31" s="16"/>
      <c r="F31" s="17"/>
      <c r="G31" s="18"/>
      <c r="H31" s="35"/>
    </row>
    <row r="32" spans="1:8" ht="15.75" customHeight="1" x14ac:dyDescent="0.25">
      <c r="A32" s="20"/>
      <c r="B32" s="17"/>
      <c r="C32" s="28"/>
      <c r="D32" s="16"/>
      <c r="E32" s="17"/>
      <c r="F32" s="17"/>
      <c r="G32" s="17"/>
      <c r="H32" s="34"/>
    </row>
    <row r="33" spans="1:8" ht="30.75" customHeight="1" x14ac:dyDescent="0.25">
      <c r="A33" s="15"/>
      <c r="B33" s="16"/>
      <c r="C33" s="28"/>
      <c r="D33" s="16"/>
      <c r="E33" s="16"/>
      <c r="F33" s="17"/>
      <c r="G33" s="17"/>
      <c r="H33" s="34"/>
    </row>
    <row r="34" spans="1:8" ht="15.75" customHeight="1" x14ac:dyDescent="0.25">
      <c r="A34" s="15"/>
      <c r="B34" s="16"/>
      <c r="C34" s="29"/>
      <c r="D34" s="17"/>
      <c r="E34" s="16"/>
      <c r="F34" s="17"/>
      <c r="G34" s="18"/>
      <c r="H34" s="35"/>
    </row>
    <row r="35" spans="1:8" ht="15.75" customHeight="1" x14ac:dyDescent="0.25">
      <c r="A35" s="20"/>
      <c r="B35" s="17"/>
      <c r="C35" s="28"/>
      <c r="D35" s="16"/>
      <c r="E35" s="17"/>
      <c r="F35" s="17"/>
      <c r="G35" s="17"/>
      <c r="H35" s="34"/>
    </row>
    <row r="36" spans="1:8" ht="30.75" customHeight="1" x14ac:dyDescent="0.25">
      <c r="A36" s="15"/>
      <c r="B36" s="16"/>
      <c r="C36" s="28"/>
      <c r="D36" s="16"/>
      <c r="E36" s="16"/>
      <c r="F36" s="17"/>
      <c r="G36" s="17"/>
      <c r="H36" s="34"/>
    </row>
    <row r="37" spans="1:8" ht="15.75" customHeight="1" x14ac:dyDescent="0.25">
      <c r="A37" s="15"/>
      <c r="B37" s="16"/>
      <c r="C37" s="30"/>
      <c r="D37" s="17"/>
      <c r="E37" s="16"/>
      <c r="F37" s="17"/>
      <c r="G37" s="18"/>
      <c r="H37" s="35"/>
    </row>
    <row r="38" spans="1:8" ht="15.75" customHeight="1" x14ac:dyDescent="0.25">
      <c r="A38" s="20"/>
      <c r="B38" s="17"/>
      <c r="C38" s="25"/>
      <c r="D38" s="16"/>
      <c r="E38" s="17"/>
      <c r="F38" s="17"/>
      <c r="G38" s="17"/>
      <c r="H38" s="34"/>
    </row>
    <row r="39" spans="1:8" ht="31.5" customHeight="1" x14ac:dyDescent="0.25">
      <c r="A39" s="15"/>
      <c r="B39" s="16"/>
      <c r="C39" s="28"/>
      <c r="D39" s="16"/>
      <c r="E39" s="16"/>
      <c r="F39" s="17"/>
      <c r="G39" s="17"/>
      <c r="H39" s="34"/>
    </row>
    <row r="40" spans="1:8" ht="15.75" customHeight="1" x14ac:dyDescent="0.25">
      <c r="A40" s="15"/>
      <c r="B40" s="16"/>
      <c r="C40" s="29"/>
      <c r="D40" s="17"/>
      <c r="E40" s="16"/>
      <c r="F40" s="17"/>
      <c r="G40" s="18"/>
      <c r="H40" s="35"/>
    </row>
    <row r="41" spans="1:8" ht="15.75" customHeight="1" x14ac:dyDescent="0.25">
      <c r="A41" s="20"/>
      <c r="B41" s="17"/>
      <c r="C41" s="28"/>
      <c r="D41" s="16"/>
      <c r="E41" s="17"/>
      <c r="F41" s="17"/>
      <c r="G41" s="17"/>
      <c r="H41" s="34"/>
    </row>
    <row r="42" spans="1:8" ht="37.5" customHeight="1" x14ac:dyDescent="0.25">
      <c r="A42" s="15"/>
      <c r="B42" s="16"/>
      <c r="C42" s="28"/>
      <c r="D42" s="16"/>
      <c r="E42" s="16"/>
      <c r="F42" s="17"/>
      <c r="G42" s="17"/>
      <c r="H42" s="34"/>
    </row>
    <row r="43" spans="1:8" ht="15.75" customHeight="1" x14ac:dyDescent="0.25">
      <c r="A43" s="15"/>
      <c r="B43" s="16"/>
      <c r="C43" s="29"/>
      <c r="D43" s="17"/>
      <c r="E43" s="16"/>
      <c r="F43" s="17"/>
      <c r="G43" s="18"/>
      <c r="H43" s="35"/>
    </row>
    <row r="44" spans="1:8" ht="15.75" customHeight="1" x14ac:dyDescent="0.25">
      <c r="A44" s="20"/>
      <c r="B44" s="17"/>
      <c r="C44" s="28"/>
      <c r="D44" s="16"/>
      <c r="E44" s="17"/>
      <c r="F44" s="17"/>
      <c r="G44" s="17"/>
      <c r="H44" s="34"/>
    </row>
    <row r="45" spans="1:8" ht="38.25" customHeight="1" x14ac:dyDescent="0.25">
      <c r="A45" s="15"/>
      <c r="B45" s="16"/>
      <c r="C45" s="28"/>
      <c r="D45" s="16"/>
      <c r="E45" s="16"/>
      <c r="F45" s="17"/>
      <c r="G45" s="17"/>
      <c r="H45" s="34"/>
    </row>
    <row r="46" spans="1:8" ht="30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</sheetData>
  <mergeCells count="7">
    <mergeCell ref="A6:B6"/>
    <mergeCell ref="C6:G6"/>
    <mergeCell ref="A5:B5"/>
    <mergeCell ref="A1:B1"/>
    <mergeCell ref="H1:I1"/>
    <mergeCell ref="A2:B2"/>
    <mergeCell ref="A4:B4"/>
  </mergeCells>
  <phoneticPr fontId="10" type="noConversion"/>
  <conditionalFormatting sqref="G12 G15 G9:G10 G19">
    <cfRule type="cellIs" dxfId="159" priority="53" operator="equal">
      <formula>"FAIL"</formula>
    </cfRule>
  </conditionalFormatting>
  <conditionalFormatting sqref="G12 G15 G9:G10 G19">
    <cfRule type="cellIs" dxfId="158" priority="54" operator="equal">
      <formula>"PASS"</formula>
    </cfRule>
  </conditionalFormatting>
  <conditionalFormatting sqref="G12 G15 G9:G10 G19">
    <cfRule type="cellIs" dxfId="157" priority="55" operator="equal">
      <formula>"WARNING"</formula>
    </cfRule>
  </conditionalFormatting>
  <conditionalFormatting sqref="G12 G15 G9:G10 G19">
    <cfRule type="containsBlanks" dxfId="156" priority="56">
      <formula>LEN(TRIM(G9))=0</formula>
    </cfRule>
  </conditionalFormatting>
  <conditionalFormatting sqref="G22">
    <cfRule type="cellIs" dxfId="155" priority="45" operator="equal">
      <formula>"FAIL"</formula>
    </cfRule>
  </conditionalFormatting>
  <conditionalFormatting sqref="G22">
    <cfRule type="cellIs" dxfId="154" priority="46" operator="equal">
      <formula>"PASS"</formula>
    </cfRule>
  </conditionalFormatting>
  <conditionalFormatting sqref="G22">
    <cfRule type="cellIs" dxfId="153" priority="47" operator="equal">
      <formula>"WARNING"</formula>
    </cfRule>
  </conditionalFormatting>
  <conditionalFormatting sqref="G22">
    <cfRule type="containsBlanks" dxfId="152" priority="48">
      <formula>LEN(TRIM(G22))=0</formula>
    </cfRule>
  </conditionalFormatting>
  <conditionalFormatting sqref="G25">
    <cfRule type="cellIs" dxfId="151" priority="41" operator="equal">
      <formula>"FAIL"</formula>
    </cfRule>
  </conditionalFormatting>
  <conditionalFormatting sqref="G25">
    <cfRule type="cellIs" dxfId="150" priority="42" operator="equal">
      <formula>"PASS"</formula>
    </cfRule>
  </conditionalFormatting>
  <conditionalFormatting sqref="G25">
    <cfRule type="cellIs" dxfId="149" priority="43" operator="equal">
      <formula>"WARNING"</formula>
    </cfRule>
  </conditionalFormatting>
  <conditionalFormatting sqref="G25">
    <cfRule type="containsBlanks" dxfId="148" priority="44">
      <formula>LEN(TRIM(G25))=0</formula>
    </cfRule>
  </conditionalFormatting>
  <conditionalFormatting sqref="G31">
    <cfRule type="cellIs" dxfId="147" priority="37" operator="equal">
      <formula>"FAIL"</formula>
    </cfRule>
  </conditionalFormatting>
  <conditionalFormatting sqref="G31">
    <cfRule type="cellIs" dxfId="146" priority="38" operator="equal">
      <formula>"PASS"</formula>
    </cfRule>
  </conditionalFormatting>
  <conditionalFormatting sqref="G31">
    <cfRule type="cellIs" dxfId="145" priority="39" operator="equal">
      <formula>"WARNING"</formula>
    </cfRule>
  </conditionalFormatting>
  <conditionalFormatting sqref="G31">
    <cfRule type="containsBlanks" dxfId="144" priority="40">
      <formula>LEN(TRIM(G31))=0</formula>
    </cfRule>
  </conditionalFormatting>
  <conditionalFormatting sqref="G34">
    <cfRule type="cellIs" dxfId="143" priority="33" operator="equal">
      <formula>"FAIL"</formula>
    </cfRule>
  </conditionalFormatting>
  <conditionalFormatting sqref="G34">
    <cfRule type="cellIs" dxfId="142" priority="34" operator="equal">
      <formula>"PASS"</formula>
    </cfRule>
  </conditionalFormatting>
  <conditionalFormatting sqref="G34">
    <cfRule type="cellIs" dxfId="141" priority="35" operator="equal">
      <formula>"WARNING"</formula>
    </cfRule>
  </conditionalFormatting>
  <conditionalFormatting sqref="G34">
    <cfRule type="containsBlanks" dxfId="140" priority="36">
      <formula>LEN(TRIM(G34))=0</formula>
    </cfRule>
  </conditionalFormatting>
  <conditionalFormatting sqref="G37">
    <cfRule type="cellIs" dxfId="139" priority="29" operator="equal">
      <formula>"FAIL"</formula>
    </cfRule>
  </conditionalFormatting>
  <conditionalFormatting sqref="G37">
    <cfRule type="cellIs" dxfId="138" priority="30" operator="equal">
      <formula>"PASS"</formula>
    </cfRule>
  </conditionalFormatting>
  <conditionalFormatting sqref="G37">
    <cfRule type="cellIs" dxfId="137" priority="31" operator="equal">
      <formula>"WARNING"</formula>
    </cfRule>
  </conditionalFormatting>
  <conditionalFormatting sqref="G37">
    <cfRule type="containsBlanks" dxfId="136" priority="32">
      <formula>LEN(TRIM(G37))=0</formula>
    </cfRule>
  </conditionalFormatting>
  <conditionalFormatting sqref="I2:I3">
    <cfRule type="cellIs" dxfId="135" priority="25" operator="equal">
      <formula>"FAIL"</formula>
    </cfRule>
  </conditionalFormatting>
  <conditionalFormatting sqref="I2:I3">
    <cfRule type="cellIs" dxfId="134" priority="26" operator="equal">
      <formula>"PASS"</formula>
    </cfRule>
  </conditionalFormatting>
  <conditionalFormatting sqref="I2:I3">
    <cfRule type="cellIs" dxfId="133" priority="27" operator="equal">
      <formula>"WARNING"</formula>
    </cfRule>
  </conditionalFormatting>
  <conditionalFormatting sqref="I2:I3">
    <cfRule type="containsBlanks" dxfId="132" priority="28">
      <formula>LEN(TRIM(I2))=0</formula>
    </cfRule>
  </conditionalFormatting>
  <conditionalFormatting sqref="I4">
    <cfRule type="cellIs" dxfId="131" priority="21" operator="equal">
      <formula>"FAIL"</formula>
    </cfRule>
  </conditionalFormatting>
  <conditionalFormatting sqref="I4">
    <cfRule type="cellIs" dxfId="130" priority="22" operator="equal">
      <formula>"PASS"</formula>
    </cfRule>
  </conditionalFormatting>
  <conditionalFormatting sqref="I4">
    <cfRule type="cellIs" dxfId="129" priority="23" operator="equal">
      <formula>"WARNING"</formula>
    </cfRule>
  </conditionalFormatting>
  <conditionalFormatting sqref="I4">
    <cfRule type="containsBlanks" dxfId="128" priority="24">
      <formula>LEN(TRIM(I4))=0</formula>
    </cfRule>
  </conditionalFormatting>
  <conditionalFormatting sqref="G8">
    <cfRule type="cellIs" dxfId="127" priority="17" operator="equal">
      <formula>"FAIL"</formula>
    </cfRule>
  </conditionalFormatting>
  <conditionalFormatting sqref="G8">
    <cfRule type="cellIs" dxfId="126" priority="18" operator="equal">
      <formula>"PASS"</formula>
    </cfRule>
  </conditionalFormatting>
  <conditionalFormatting sqref="G8">
    <cfRule type="cellIs" dxfId="125" priority="19" operator="equal">
      <formula>"WARNING"</formula>
    </cfRule>
  </conditionalFormatting>
  <conditionalFormatting sqref="G8">
    <cfRule type="containsBlanks" dxfId="124" priority="20">
      <formula>LEN(TRIM(G8))=0</formula>
    </cfRule>
  </conditionalFormatting>
  <conditionalFormatting sqref="G28">
    <cfRule type="cellIs" dxfId="123" priority="9" operator="equal">
      <formula>"FAIL"</formula>
    </cfRule>
  </conditionalFormatting>
  <conditionalFormatting sqref="G28">
    <cfRule type="cellIs" dxfId="122" priority="10" operator="equal">
      <formula>"PASS"</formula>
    </cfRule>
  </conditionalFormatting>
  <conditionalFormatting sqref="G28">
    <cfRule type="cellIs" dxfId="121" priority="11" operator="equal">
      <formula>"WARNING"</formula>
    </cfRule>
  </conditionalFormatting>
  <conditionalFormatting sqref="G28">
    <cfRule type="containsBlanks" dxfId="120" priority="12">
      <formula>LEN(TRIM(G28))=0</formula>
    </cfRule>
  </conditionalFormatting>
  <conditionalFormatting sqref="G40">
    <cfRule type="cellIs" dxfId="119" priority="5" operator="equal">
      <formula>"FAIL"</formula>
    </cfRule>
  </conditionalFormatting>
  <conditionalFormatting sqref="G40">
    <cfRule type="cellIs" dxfId="118" priority="6" operator="equal">
      <formula>"PASS"</formula>
    </cfRule>
  </conditionalFormatting>
  <conditionalFormatting sqref="G40">
    <cfRule type="cellIs" dxfId="117" priority="7" operator="equal">
      <formula>"WARNING"</formula>
    </cfRule>
  </conditionalFormatting>
  <conditionalFormatting sqref="G40">
    <cfRule type="containsBlanks" dxfId="116" priority="8">
      <formula>LEN(TRIM(G40))=0</formula>
    </cfRule>
  </conditionalFormatting>
  <conditionalFormatting sqref="G43">
    <cfRule type="cellIs" dxfId="115" priority="1" operator="equal">
      <formula>"FAIL"</formula>
    </cfRule>
  </conditionalFormatting>
  <conditionalFormatting sqref="G43">
    <cfRule type="cellIs" dxfId="114" priority="2" operator="equal">
      <formula>"PASS"</formula>
    </cfRule>
  </conditionalFormatting>
  <conditionalFormatting sqref="G43">
    <cfRule type="cellIs" dxfId="113" priority="3" operator="equal">
      <formula>"WARNING"</formula>
    </cfRule>
  </conditionalFormatting>
  <conditionalFormatting sqref="G43">
    <cfRule type="containsBlanks" dxfId="112" priority="4">
      <formula>LEN(TRIM(G43))=0</formula>
    </cfRule>
  </conditionalFormatting>
  <dataValidations xWindow="1093" yWindow="806" count="1">
    <dataValidation type="list" allowBlank="1" showInputMessage="1" showErrorMessage="1" prompt="Click and enter a value from the list of items" sqref="G9:G10 G12 G15 G19 G22 G25 G31 G34 G37 G8 G28 G40 G43" xr:uid="{00000000-0002-0000-0000-000000000000}">
      <formula1>"PASS,FAIL,WARNING"</formula1>
    </dataValidation>
  </dataValidations>
  <hyperlinks>
    <hyperlink ref="H14" r:id="rId1" xr:uid="{8D1FAB1B-F171-4CA0-AE3D-14201CD1EED9}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550A-DFFE-4AA4-B51E-08F03A2D0E08}">
  <dimension ref="A1:I24"/>
  <sheetViews>
    <sheetView workbookViewId="0">
      <selection activeCell="C4" sqref="C4"/>
    </sheetView>
  </sheetViews>
  <sheetFormatPr defaultRowHeight="13.2" x14ac:dyDescent="0.25"/>
  <cols>
    <col min="1" max="1" width="25.109375" customWidth="1"/>
    <col min="2" max="2" width="27.33203125" customWidth="1"/>
    <col min="3" max="3" width="36.6640625" customWidth="1"/>
    <col min="4" max="4" width="24.5546875" customWidth="1"/>
    <col min="5" max="5" width="19.33203125" customWidth="1"/>
    <col min="6" max="6" width="19.77734375" customWidth="1"/>
    <col min="7" max="7" width="28.77734375" customWidth="1"/>
    <col min="8" max="8" width="18.77734375" customWidth="1"/>
    <col min="9" max="9" width="34" customWidth="1"/>
  </cols>
  <sheetData>
    <row r="1" spans="1:9" ht="13.8" x14ac:dyDescent="0.25">
      <c r="A1" s="85" t="s">
        <v>4</v>
      </c>
      <c r="B1" s="82"/>
      <c r="C1" s="1" t="s">
        <v>33</v>
      </c>
      <c r="D1" s="4" t="s">
        <v>5</v>
      </c>
      <c r="E1" s="57" t="s">
        <v>600</v>
      </c>
      <c r="F1" s="6" t="s">
        <v>6</v>
      </c>
      <c r="G1" s="57" t="s">
        <v>600</v>
      </c>
      <c r="H1" s="86" t="s">
        <v>7</v>
      </c>
      <c r="I1" s="82"/>
    </row>
    <row r="2" spans="1:9" ht="13.8" x14ac:dyDescent="0.25">
      <c r="A2" s="84" t="s">
        <v>8</v>
      </c>
      <c r="B2" s="82"/>
      <c r="C2" s="2" t="s">
        <v>192</v>
      </c>
      <c r="D2" s="4" t="s">
        <v>9</v>
      </c>
      <c r="E2" s="5" t="s">
        <v>600</v>
      </c>
      <c r="F2" s="8" t="s">
        <v>10</v>
      </c>
      <c r="G2" s="5" t="s">
        <v>600</v>
      </c>
      <c r="H2" s="4" t="s">
        <v>0</v>
      </c>
      <c r="I2" s="40">
        <f>COUNTIF(G8:G43, "PASS")</f>
        <v>4</v>
      </c>
    </row>
    <row r="3" spans="1:9" ht="13.8" x14ac:dyDescent="0.25">
      <c r="A3" s="76" t="s">
        <v>607</v>
      </c>
      <c r="B3" s="79"/>
      <c r="C3" s="2" t="s">
        <v>608</v>
      </c>
      <c r="D3" s="9"/>
      <c r="E3" s="78"/>
      <c r="F3" s="8"/>
      <c r="G3" s="5"/>
      <c r="H3" s="9"/>
      <c r="I3" s="40"/>
    </row>
    <row r="4" spans="1:9" ht="13.8" x14ac:dyDescent="0.25">
      <c r="A4" s="84" t="s">
        <v>604</v>
      </c>
      <c r="B4" s="82"/>
      <c r="C4" s="2" t="s">
        <v>611</v>
      </c>
      <c r="D4" s="9" t="s">
        <v>11</v>
      </c>
      <c r="E4" s="3" t="s">
        <v>27</v>
      </c>
      <c r="F4" s="80" t="s">
        <v>12</v>
      </c>
      <c r="G4" s="69" t="s">
        <v>610</v>
      </c>
      <c r="H4" s="10" t="s">
        <v>1</v>
      </c>
      <c r="I4" s="21">
        <v>13</v>
      </c>
    </row>
    <row r="5" spans="1:9" ht="13.8" x14ac:dyDescent="0.25">
      <c r="A5" s="84" t="s">
        <v>606</v>
      </c>
      <c r="B5" s="82"/>
      <c r="C5" s="2" t="s">
        <v>609</v>
      </c>
      <c r="D5" s="9" t="s">
        <v>14</v>
      </c>
      <c r="E5" s="2" t="s">
        <v>27</v>
      </c>
      <c r="F5" s="1" t="s">
        <v>15</v>
      </c>
      <c r="G5" s="11" t="s">
        <v>3</v>
      </c>
      <c r="H5" s="4" t="s">
        <v>16</v>
      </c>
      <c r="I5" s="22">
        <f>COUNTIF(G9:G43, "WARNING")</f>
        <v>0</v>
      </c>
    </row>
    <row r="6" spans="1:9" ht="13.8" x14ac:dyDescent="0.25">
      <c r="A6" s="81" t="s">
        <v>17</v>
      </c>
      <c r="B6" s="82"/>
      <c r="C6" s="81" t="s">
        <v>27</v>
      </c>
      <c r="D6" s="83"/>
      <c r="E6" s="83"/>
      <c r="F6" s="83"/>
      <c r="G6" s="82"/>
      <c r="H6" s="12" t="s">
        <v>18</v>
      </c>
      <c r="I6" s="23">
        <v>17</v>
      </c>
    </row>
    <row r="7" spans="1:9" ht="13.8" x14ac:dyDescent="0.25">
      <c r="A7" s="13" t="s">
        <v>19</v>
      </c>
      <c r="B7" s="14" t="s">
        <v>20</v>
      </c>
      <c r="C7" s="14" t="s">
        <v>23</v>
      </c>
      <c r="D7" s="14" t="s">
        <v>24</v>
      </c>
      <c r="E7" s="14" t="s">
        <v>21</v>
      </c>
      <c r="F7" s="14" t="s">
        <v>25</v>
      </c>
      <c r="G7" s="14" t="s">
        <v>22</v>
      </c>
      <c r="H7" s="14" t="s">
        <v>2</v>
      </c>
      <c r="I7" s="7"/>
    </row>
    <row r="8" spans="1:9" ht="41.4" x14ac:dyDescent="0.25">
      <c r="A8" s="15" t="s">
        <v>94</v>
      </c>
      <c r="B8" s="16" t="s">
        <v>101</v>
      </c>
      <c r="C8" s="36" t="s">
        <v>102</v>
      </c>
      <c r="D8" s="17" t="s">
        <v>46</v>
      </c>
      <c r="E8" s="16" t="s">
        <v>103</v>
      </c>
      <c r="F8" s="17" t="s">
        <v>104</v>
      </c>
      <c r="G8" s="18" t="s">
        <v>1</v>
      </c>
      <c r="H8" s="37" t="s">
        <v>105</v>
      </c>
      <c r="I8" s="7"/>
    </row>
    <row r="9" spans="1:9" ht="41.4" x14ac:dyDescent="0.25">
      <c r="A9" s="15" t="s">
        <v>95</v>
      </c>
      <c r="B9" s="16" t="s">
        <v>106</v>
      </c>
      <c r="C9" s="38" t="s">
        <v>107</v>
      </c>
      <c r="D9" s="17" t="s">
        <v>108</v>
      </c>
      <c r="E9" s="16" t="s">
        <v>109</v>
      </c>
      <c r="F9" s="17" t="s">
        <v>110</v>
      </c>
      <c r="G9" s="18" t="s">
        <v>0</v>
      </c>
      <c r="H9" s="37"/>
      <c r="I9" s="7"/>
    </row>
    <row r="10" spans="1:9" ht="55.2" x14ac:dyDescent="0.25">
      <c r="A10" s="15" t="s">
        <v>96</v>
      </c>
      <c r="B10" s="16" t="s">
        <v>111</v>
      </c>
      <c r="C10" s="36" t="s">
        <v>112</v>
      </c>
      <c r="D10" s="16" t="s">
        <v>113</v>
      </c>
      <c r="E10" s="16" t="s">
        <v>114</v>
      </c>
      <c r="F10" s="16" t="s">
        <v>115</v>
      </c>
      <c r="G10" s="39" t="s">
        <v>1</v>
      </c>
      <c r="H10" s="37" t="s">
        <v>116</v>
      </c>
      <c r="I10" s="7"/>
    </row>
    <row r="11" spans="1:9" ht="55.2" x14ac:dyDescent="0.25">
      <c r="A11" s="19" t="s">
        <v>97</v>
      </c>
      <c r="B11" s="16" t="s">
        <v>117</v>
      </c>
      <c r="C11" s="42" t="s">
        <v>118</v>
      </c>
      <c r="D11" s="16" t="s">
        <v>113</v>
      </c>
      <c r="E11" s="16" t="s">
        <v>114</v>
      </c>
      <c r="F11" s="16" t="s">
        <v>115</v>
      </c>
      <c r="G11" s="50" t="s">
        <v>1</v>
      </c>
      <c r="H11" s="32"/>
      <c r="I11" s="7"/>
    </row>
    <row r="12" spans="1:9" ht="55.2" x14ac:dyDescent="0.25">
      <c r="A12" s="15" t="s">
        <v>98</v>
      </c>
      <c r="B12" s="16" t="s">
        <v>119</v>
      </c>
      <c r="C12" s="42" t="s">
        <v>120</v>
      </c>
      <c r="D12" s="17" t="s">
        <v>121</v>
      </c>
      <c r="E12" s="16" t="s">
        <v>114</v>
      </c>
      <c r="F12" s="17" t="s">
        <v>115</v>
      </c>
      <c r="G12" s="18" t="s">
        <v>1</v>
      </c>
      <c r="H12" s="33"/>
      <c r="I12" s="7"/>
    </row>
    <row r="13" spans="1:9" ht="55.2" x14ac:dyDescent="0.25">
      <c r="A13" s="19" t="s">
        <v>99</v>
      </c>
      <c r="B13" s="16" t="s">
        <v>122</v>
      </c>
      <c r="C13" s="42" t="s">
        <v>123</v>
      </c>
      <c r="D13" s="16" t="s">
        <v>124</v>
      </c>
      <c r="E13" s="16" t="s">
        <v>125</v>
      </c>
      <c r="F13" s="17" t="s">
        <v>126</v>
      </c>
      <c r="G13" s="43" t="s">
        <v>0</v>
      </c>
      <c r="H13" s="32"/>
      <c r="I13" s="7"/>
    </row>
    <row r="14" spans="1:9" ht="55.2" x14ac:dyDescent="0.25">
      <c r="A14" s="15" t="s">
        <v>100</v>
      </c>
      <c r="B14" s="17" t="s">
        <v>127</v>
      </c>
      <c r="C14" s="44" t="s">
        <v>128</v>
      </c>
      <c r="D14" s="16" t="s">
        <v>129</v>
      </c>
      <c r="E14" s="17" t="s">
        <v>130</v>
      </c>
      <c r="F14" s="17" t="s">
        <v>131</v>
      </c>
      <c r="G14" s="45" t="s">
        <v>0</v>
      </c>
      <c r="H14" s="34"/>
      <c r="I14" s="7"/>
    </row>
    <row r="15" spans="1:9" ht="52.8" x14ac:dyDescent="0.25">
      <c r="A15" s="56" t="s">
        <v>132</v>
      </c>
      <c r="B15" s="55" t="s">
        <v>133</v>
      </c>
      <c r="C15" s="64" t="s">
        <v>134</v>
      </c>
      <c r="D15" s="46" t="s">
        <v>138</v>
      </c>
      <c r="E15" s="64" t="s">
        <v>135</v>
      </c>
      <c r="F15" s="64" t="s">
        <v>136</v>
      </c>
      <c r="G15" s="52" t="s">
        <v>1</v>
      </c>
      <c r="H15" s="65" t="s">
        <v>145</v>
      </c>
    </row>
    <row r="16" spans="1:9" ht="52.8" x14ac:dyDescent="0.25">
      <c r="A16" s="56" t="s">
        <v>146</v>
      </c>
      <c r="B16" s="56" t="s">
        <v>139</v>
      </c>
      <c r="C16" s="56" t="s">
        <v>137</v>
      </c>
      <c r="D16" s="46" t="s">
        <v>138</v>
      </c>
      <c r="E16" s="46" t="s">
        <v>140</v>
      </c>
      <c r="F16" s="46" t="s">
        <v>141</v>
      </c>
      <c r="G16" s="52" t="s">
        <v>1</v>
      </c>
      <c r="H16" s="65" t="s">
        <v>145</v>
      </c>
    </row>
    <row r="17" spans="1:8" ht="52.8" x14ac:dyDescent="0.25">
      <c r="A17" s="56" t="s">
        <v>147</v>
      </c>
      <c r="B17" s="51" t="s">
        <v>142</v>
      </c>
      <c r="C17" s="56" t="s">
        <v>143</v>
      </c>
      <c r="D17" s="46" t="s">
        <v>151</v>
      </c>
      <c r="E17" s="46" t="s">
        <v>144</v>
      </c>
      <c r="F17" s="46" t="s">
        <v>141</v>
      </c>
      <c r="G17" s="52" t="s">
        <v>1</v>
      </c>
      <c r="H17" s="65" t="s">
        <v>145</v>
      </c>
    </row>
    <row r="18" spans="1:8" ht="52.8" x14ac:dyDescent="0.25">
      <c r="A18" s="56" t="s">
        <v>148</v>
      </c>
      <c r="B18" s="46" t="s">
        <v>149</v>
      </c>
      <c r="C18" s="56" t="s">
        <v>150</v>
      </c>
      <c r="D18" s="46" t="s">
        <v>151</v>
      </c>
      <c r="E18" s="46" t="s">
        <v>152</v>
      </c>
      <c r="F18" s="46" t="s">
        <v>153</v>
      </c>
      <c r="G18" s="52" t="s">
        <v>1</v>
      </c>
      <c r="H18" s="65" t="s">
        <v>605</v>
      </c>
    </row>
    <row r="19" spans="1:8" ht="52.8" x14ac:dyDescent="0.25">
      <c r="A19" s="56" t="s">
        <v>159</v>
      </c>
      <c r="B19" s="46" t="s">
        <v>154</v>
      </c>
      <c r="C19" s="46" t="s">
        <v>155</v>
      </c>
      <c r="D19" s="46" t="s">
        <v>151</v>
      </c>
      <c r="E19" s="46" t="s">
        <v>156</v>
      </c>
      <c r="F19" s="56" t="s">
        <v>157</v>
      </c>
      <c r="G19" s="52" t="s">
        <v>1</v>
      </c>
      <c r="H19" s="65" t="s">
        <v>158</v>
      </c>
    </row>
    <row r="20" spans="1:8" ht="52.8" x14ac:dyDescent="0.25">
      <c r="A20" s="56" t="s">
        <v>160</v>
      </c>
      <c r="B20" s="46" t="s">
        <v>161</v>
      </c>
      <c r="C20" s="46" t="s">
        <v>170</v>
      </c>
      <c r="D20" s="46" t="s">
        <v>167</v>
      </c>
      <c r="E20" s="46" t="s">
        <v>162</v>
      </c>
      <c r="F20" s="56" t="s">
        <v>163</v>
      </c>
      <c r="G20" s="53" t="s">
        <v>0</v>
      </c>
    </row>
    <row r="21" spans="1:8" ht="52.8" x14ac:dyDescent="0.25">
      <c r="A21" s="56" t="s">
        <v>164</v>
      </c>
      <c r="B21" s="46" t="s">
        <v>165</v>
      </c>
      <c r="C21" s="56" t="s">
        <v>166</v>
      </c>
      <c r="D21" s="46" t="s">
        <v>167</v>
      </c>
      <c r="E21" s="46" t="s">
        <v>168</v>
      </c>
      <c r="F21" s="46" t="s">
        <v>169</v>
      </c>
      <c r="G21" s="52" t="s">
        <v>1</v>
      </c>
      <c r="H21" s="65" t="s">
        <v>176</v>
      </c>
    </row>
    <row r="22" spans="1:8" ht="52.8" x14ac:dyDescent="0.25">
      <c r="A22" s="56" t="s">
        <v>172</v>
      </c>
      <c r="B22" s="46" t="s">
        <v>165</v>
      </c>
      <c r="C22" s="56" t="s">
        <v>166</v>
      </c>
      <c r="D22" s="46" t="s">
        <v>167</v>
      </c>
      <c r="E22" s="46" t="s">
        <v>174</v>
      </c>
      <c r="F22" s="46" t="s">
        <v>171</v>
      </c>
      <c r="G22" s="52" t="s">
        <v>1</v>
      </c>
      <c r="H22" s="65" t="s">
        <v>176</v>
      </c>
    </row>
    <row r="23" spans="1:8" ht="52.8" x14ac:dyDescent="0.25">
      <c r="A23" s="56" t="s">
        <v>173</v>
      </c>
      <c r="B23" s="46" t="s">
        <v>165</v>
      </c>
      <c r="C23" s="56" t="s">
        <v>166</v>
      </c>
      <c r="D23" s="46" t="s">
        <v>167</v>
      </c>
      <c r="E23" s="46" t="s">
        <v>174</v>
      </c>
      <c r="F23" s="46" t="s">
        <v>175</v>
      </c>
      <c r="G23" s="52" t="s">
        <v>1</v>
      </c>
      <c r="H23" s="65" t="s">
        <v>176</v>
      </c>
    </row>
    <row r="24" spans="1:8" ht="52.8" x14ac:dyDescent="0.25">
      <c r="A24" s="56" t="s">
        <v>177</v>
      </c>
      <c r="B24" s="46" t="s">
        <v>178</v>
      </c>
      <c r="C24" s="56" t="s">
        <v>179</v>
      </c>
      <c r="D24" s="46" t="s">
        <v>167</v>
      </c>
      <c r="E24" s="46" t="s">
        <v>180</v>
      </c>
      <c r="F24" s="56" t="s">
        <v>181</v>
      </c>
      <c r="G24" s="52" t="s">
        <v>1</v>
      </c>
      <c r="H24" s="65" t="s">
        <v>182</v>
      </c>
    </row>
  </sheetData>
  <mergeCells count="7">
    <mergeCell ref="A6:B6"/>
    <mergeCell ref="C6:G6"/>
    <mergeCell ref="A1:B1"/>
    <mergeCell ref="H1:I1"/>
    <mergeCell ref="A2:B2"/>
    <mergeCell ref="A4:B4"/>
    <mergeCell ref="A5:B5"/>
  </mergeCells>
  <phoneticPr fontId="10" type="noConversion"/>
  <conditionalFormatting sqref="G12 G9:G10">
    <cfRule type="cellIs" dxfId="111" priority="13" operator="equal">
      <formula>"FAIL"</formula>
    </cfRule>
  </conditionalFormatting>
  <conditionalFormatting sqref="G12 G9:G10">
    <cfRule type="cellIs" dxfId="110" priority="14" operator="equal">
      <formula>"PASS"</formula>
    </cfRule>
  </conditionalFormatting>
  <conditionalFormatting sqref="G12 G9:G10">
    <cfRule type="cellIs" dxfId="109" priority="15" operator="equal">
      <formula>"WARNING"</formula>
    </cfRule>
  </conditionalFormatting>
  <conditionalFormatting sqref="G12 G9:G10">
    <cfRule type="containsBlanks" dxfId="108" priority="16">
      <formula>LEN(TRIM(G9))=0</formula>
    </cfRule>
  </conditionalFormatting>
  <conditionalFormatting sqref="I2:I3">
    <cfRule type="cellIs" dxfId="107" priority="9" operator="equal">
      <formula>"FAIL"</formula>
    </cfRule>
  </conditionalFormatting>
  <conditionalFormatting sqref="I2:I3">
    <cfRule type="cellIs" dxfId="106" priority="10" operator="equal">
      <formula>"PASS"</formula>
    </cfRule>
  </conditionalFormatting>
  <conditionalFormatting sqref="I2:I3">
    <cfRule type="cellIs" dxfId="105" priority="11" operator="equal">
      <formula>"WARNING"</formula>
    </cfRule>
  </conditionalFormatting>
  <conditionalFormatting sqref="I2:I3">
    <cfRule type="containsBlanks" dxfId="104" priority="12">
      <formula>LEN(TRIM(I2))=0</formula>
    </cfRule>
  </conditionalFormatting>
  <conditionalFormatting sqref="I4">
    <cfRule type="cellIs" dxfId="103" priority="5" operator="equal">
      <formula>"FAIL"</formula>
    </cfRule>
  </conditionalFormatting>
  <conditionalFormatting sqref="I4">
    <cfRule type="cellIs" dxfId="102" priority="6" operator="equal">
      <formula>"PASS"</formula>
    </cfRule>
  </conditionalFormatting>
  <conditionalFormatting sqref="I4">
    <cfRule type="cellIs" dxfId="101" priority="7" operator="equal">
      <formula>"WARNING"</formula>
    </cfRule>
  </conditionalFormatting>
  <conditionalFormatting sqref="I4">
    <cfRule type="containsBlanks" dxfId="100" priority="8">
      <formula>LEN(TRIM(I4))=0</formula>
    </cfRule>
  </conditionalFormatting>
  <conditionalFormatting sqref="G8">
    <cfRule type="cellIs" dxfId="99" priority="1" operator="equal">
      <formula>"FAIL"</formula>
    </cfRule>
  </conditionalFormatting>
  <conditionalFormatting sqref="G8">
    <cfRule type="cellIs" dxfId="98" priority="2" operator="equal">
      <formula>"PASS"</formula>
    </cfRule>
  </conditionalFormatting>
  <conditionalFormatting sqref="G8">
    <cfRule type="cellIs" dxfId="97" priority="3" operator="equal">
      <formula>"WARNING"</formula>
    </cfRule>
  </conditionalFormatting>
  <conditionalFormatting sqref="G8">
    <cfRule type="containsBlanks" dxfId="96" priority="4">
      <formula>LEN(TRIM(G8))=0</formula>
    </cfRule>
  </conditionalFormatting>
  <dataValidations count="1">
    <dataValidation type="list" allowBlank="1" showInputMessage="1" showErrorMessage="1" prompt="Click and enter a value from the list of items" sqref="G8:G10 G12" xr:uid="{482BC5FD-48CC-434B-992B-F5932F0C8366}">
      <formula1>"PASS,FAIL,WARNING"</formula1>
    </dataValidation>
  </dataValidations>
  <hyperlinks>
    <hyperlink ref="H8" r:id="rId1" xr:uid="{7FCB39D3-0C03-4E42-B265-1001FE6ADD93}"/>
    <hyperlink ref="H10" r:id="rId2" xr:uid="{02A7893A-7DB4-4E18-88EB-8AE87077A86A}"/>
    <hyperlink ref="H15" r:id="rId3" xr:uid="{FA599764-A9BD-4A1C-A0C6-4316B7D6A7B0}"/>
    <hyperlink ref="H16" r:id="rId4" xr:uid="{15EE3FF6-8A06-4DC2-BD1D-09A9BD16413F}"/>
    <hyperlink ref="H17" r:id="rId5" xr:uid="{9A95942E-2577-4AEE-A45E-EBC17105866A}"/>
    <hyperlink ref="H19" r:id="rId6" xr:uid="{D2B773ED-FF12-4F13-A886-1DD8A21E4809}"/>
    <hyperlink ref="H21" r:id="rId7" xr:uid="{175B6062-418A-46B8-80E2-F35FC8703A9D}"/>
    <hyperlink ref="H22" r:id="rId8" xr:uid="{071775F2-D886-47FE-8AF8-668D9A1FD7F9}"/>
    <hyperlink ref="H23" r:id="rId9" xr:uid="{F9D2D40C-BF63-463B-83EF-53493F82E548}"/>
    <hyperlink ref="H24" r:id="rId10" xr:uid="{69FC55AD-8833-4BCE-B1FB-CA066A9D5835}"/>
    <hyperlink ref="H18" r:id="rId11" xr:uid="{5FF3D5F2-8002-4E85-8519-801F075512CA}"/>
  </hyperlinks>
  <pageMargins left="0.7" right="0.7" top="0.75" bottom="0.75" header="0.3" footer="0.3"/>
  <pageSetup paperSize="9"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2D79-2173-411D-A1F5-E32EB142187F}">
  <dimension ref="A1:I30"/>
  <sheetViews>
    <sheetView zoomScaleNormal="100" workbookViewId="0">
      <selection activeCell="B12" sqref="B12"/>
    </sheetView>
  </sheetViews>
  <sheetFormatPr defaultRowHeight="13.2" x14ac:dyDescent="0.25"/>
  <cols>
    <col min="1" max="1" width="16.44140625" customWidth="1"/>
    <col min="2" max="2" width="17.44140625" customWidth="1"/>
    <col min="3" max="3" width="29.109375" customWidth="1"/>
    <col min="4" max="4" width="27.109375" customWidth="1"/>
    <col min="5" max="5" width="22.5546875" customWidth="1"/>
    <col min="6" max="6" width="21.109375" customWidth="1"/>
    <col min="7" max="7" width="35.77734375" customWidth="1"/>
    <col min="8" max="8" width="21.77734375" customWidth="1"/>
    <col min="9" max="9" width="21.21875" customWidth="1"/>
  </cols>
  <sheetData>
    <row r="1" spans="1:9" ht="13.8" x14ac:dyDescent="0.3">
      <c r="A1" s="85" t="s">
        <v>4</v>
      </c>
      <c r="B1" s="82"/>
      <c r="C1" s="1" t="s">
        <v>33</v>
      </c>
      <c r="D1" s="4" t="s">
        <v>5</v>
      </c>
      <c r="E1" s="77" t="s">
        <v>600</v>
      </c>
      <c r="F1" s="6" t="s">
        <v>6</v>
      </c>
      <c r="G1" s="57" t="s">
        <v>600</v>
      </c>
      <c r="H1" s="86" t="s">
        <v>7</v>
      </c>
      <c r="I1" s="82"/>
    </row>
    <row r="2" spans="1:9" ht="27.6" x14ac:dyDescent="0.25">
      <c r="A2" s="84" t="s">
        <v>8</v>
      </c>
      <c r="B2" s="82"/>
      <c r="C2" s="2" t="s">
        <v>193</v>
      </c>
      <c r="D2" s="4" t="s">
        <v>9</v>
      </c>
      <c r="E2" s="5" t="s">
        <v>600</v>
      </c>
      <c r="F2" s="8" t="s">
        <v>10</v>
      </c>
      <c r="G2" s="5" t="s">
        <v>600</v>
      </c>
      <c r="H2" s="4" t="s">
        <v>0</v>
      </c>
      <c r="I2" s="40">
        <f>COUNTIF(G7:G33, "PASS")</f>
        <v>2</v>
      </c>
    </row>
    <row r="3" spans="1:9" ht="13.8" x14ac:dyDescent="0.25">
      <c r="A3" s="84"/>
      <c r="B3" s="82"/>
      <c r="C3" s="2"/>
      <c r="D3" s="9" t="s">
        <v>11</v>
      </c>
      <c r="E3" s="3" t="s">
        <v>27</v>
      </c>
      <c r="F3" s="1" t="s">
        <v>12</v>
      </c>
      <c r="G3" s="2">
        <v>1</v>
      </c>
      <c r="H3" s="10" t="s">
        <v>1</v>
      </c>
      <c r="I3" s="21">
        <v>6</v>
      </c>
    </row>
    <row r="4" spans="1:9" ht="13.8" x14ac:dyDescent="0.25">
      <c r="A4" s="84" t="s">
        <v>13</v>
      </c>
      <c r="B4" s="82"/>
      <c r="C4" s="2" t="s">
        <v>26</v>
      </c>
      <c r="D4" s="9" t="s">
        <v>14</v>
      </c>
      <c r="E4" s="2" t="s">
        <v>27</v>
      </c>
      <c r="F4" s="1" t="s">
        <v>15</v>
      </c>
      <c r="G4" s="11" t="s">
        <v>3</v>
      </c>
      <c r="H4" s="4" t="s">
        <v>16</v>
      </c>
      <c r="I4" s="22">
        <f>COUNTIF(G8:G33, "WARNING")</f>
        <v>0</v>
      </c>
    </row>
    <row r="5" spans="1:9" ht="13.8" x14ac:dyDescent="0.25">
      <c r="A5" s="81" t="s">
        <v>17</v>
      </c>
      <c r="B5" s="82"/>
      <c r="C5" s="81"/>
      <c r="D5" s="83"/>
      <c r="E5" s="83"/>
      <c r="F5" s="83"/>
      <c r="G5" s="82"/>
      <c r="H5" s="12" t="s">
        <v>18</v>
      </c>
      <c r="I5" s="23">
        <f>SUM(I2:I4:I3)</f>
        <v>8</v>
      </c>
    </row>
    <row r="6" spans="1:9" ht="27.6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27.6" x14ac:dyDescent="0.25">
      <c r="A7" s="15" t="s">
        <v>183</v>
      </c>
      <c r="B7" s="16" t="s">
        <v>190</v>
      </c>
      <c r="C7" s="36" t="s">
        <v>191</v>
      </c>
      <c r="D7" s="17" t="s">
        <v>194</v>
      </c>
      <c r="E7" s="16" t="s">
        <v>195</v>
      </c>
      <c r="F7" s="17" t="s">
        <v>196</v>
      </c>
      <c r="G7" s="18" t="s">
        <v>0</v>
      </c>
      <c r="H7" s="37"/>
      <c r="I7" s="7"/>
    </row>
    <row r="8" spans="1:9" ht="41.4" x14ac:dyDescent="0.25">
      <c r="A8" s="15" t="s">
        <v>184</v>
      </c>
      <c r="B8" s="16" t="s">
        <v>197</v>
      </c>
      <c r="C8" s="38" t="s">
        <v>198</v>
      </c>
      <c r="D8" s="17" t="s">
        <v>199</v>
      </c>
      <c r="E8" s="16" t="s">
        <v>200</v>
      </c>
      <c r="F8" s="17" t="s">
        <v>201</v>
      </c>
      <c r="G8" s="18" t="s">
        <v>1</v>
      </c>
      <c r="H8" s="37" t="s">
        <v>206</v>
      </c>
      <c r="I8" s="7"/>
    </row>
    <row r="9" spans="1:9" ht="41.4" x14ac:dyDescent="0.25">
      <c r="A9" s="15" t="s">
        <v>185</v>
      </c>
      <c r="B9" s="16" t="s">
        <v>208</v>
      </c>
      <c r="C9" s="36" t="s">
        <v>202</v>
      </c>
      <c r="D9" s="16" t="s">
        <v>203</v>
      </c>
      <c r="E9" s="16" t="s">
        <v>204</v>
      </c>
      <c r="F9" s="16" t="s">
        <v>205</v>
      </c>
      <c r="G9" s="39" t="s">
        <v>1</v>
      </c>
      <c r="H9" s="37" t="s">
        <v>207</v>
      </c>
      <c r="I9" s="7"/>
    </row>
    <row r="10" spans="1:9" ht="41.4" x14ac:dyDescent="0.25">
      <c r="A10" s="19" t="s">
        <v>186</v>
      </c>
      <c r="B10" s="16" t="s">
        <v>209</v>
      </c>
      <c r="C10" s="38" t="s">
        <v>202</v>
      </c>
      <c r="D10" s="16" t="s">
        <v>210</v>
      </c>
      <c r="E10" s="16" t="s">
        <v>204</v>
      </c>
      <c r="F10" s="16" t="s">
        <v>205</v>
      </c>
      <c r="G10" s="50" t="s">
        <v>1</v>
      </c>
      <c r="H10" s="37" t="s">
        <v>211</v>
      </c>
      <c r="I10" s="7"/>
    </row>
    <row r="11" spans="1:9" ht="39.6" x14ac:dyDescent="0.25">
      <c r="A11" s="63" t="s">
        <v>186</v>
      </c>
      <c r="B11" s="46" t="s">
        <v>212</v>
      </c>
      <c r="C11" s="56" t="s">
        <v>213</v>
      </c>
      <c r="D11" s="46" t="s">
        <v>214</v>
      </c>
      <c r="E11" s="46" t="s">
        <v>215</v>
      </c>
      <c r="F11" s="46" t="s">
        <v>216</v>
      </c>
      <c r="G11" s="52" t="s">
        <v>1</v>
      </c>
      <c r="H11" s="65" t="s">
        <v>217</v>
      </c>
    </row>
    <row r="12" spans="1:9" ht="52.8" x14ac:dyDescent="0.25">
      <c r="A12" s="63" t="s">
        <v>187</v>
      </c>
      <c r="B12" s="46" t="s">
        <v>218</v>
      </c>
      <c r="C12" s="56" t="s">
        <v>219</v>
      </c>
      <c r="D12" s="46" t="s">
        <v>223</v>
      </c>
      <c r="E12" s="46" t="s">
        <v>220</v>
      </c>
      <c r="F12" s="56" t="s">
        <v>221</v>
      </c>
      <c r="G12" s="52" t="s">
        <v>1</v>
      </c>
      <c r="H12" s="65" t="s">
        <v>222</v>
      </c>
    </row>
    <row r="13" spans="1:9" ht="39.6" x14ac:dyDescent="0.25">
      <c r="A13" s="63" t="s">
        <v>188</v>
      </c>
      <c r="B13" s="46" t="s">
        <v>224</v>
      </c>
      <c r="C13" s="56" t="s">
        <v>202</v>
      </c>
      <c r="D13" s="46" t="s">
        <v>225</v>
      </c>
      <c r="E13" s="46" t="s">
        <v>226</v>
      </c>
      <c r="F13" s="56" t="s">
        <v>205</v>
      </c>
      <c r="G13" s="52" t="s">
        <v>1</v>
      </c>
      <c r="H13" s="65" t="s">
        <v>227</v>
      </c>
    </row>
    <row r="14" spans="1:9" ht="52.8" x14ac:dyDescent="0.25">
      <c r="A14" s="63" t="s">
        <v>189</v>
      </c>
      <c r="B14" s="46" t="s">
        <v>228</v>
      </c>
      <c r="C14" s="46" t="s">
        <v>229</v>
      </c>
      <c r="D14" s="46" t="s">
        <v>223</v>
      </c>
      <c r="E14" s="46" t="s">
        <v>230</v>
      </c>
      <c r="F14" s="56" t="s">
        <v>231</v>
      </c>
      <c r="G14" s="66" t="s">
        <v>0</v>
      </c>
      <c r="H14" s="63"/>
    </row>
    <row r="15" spans="1:9" x14ac:dyDescent="0.25">
      <c r="A15" s="63"/>
      <c r="B15" s="63"/>
      <c r="C15" s="63"/>
      <c r="D15" s="63"/>
      <c r="E15" s="63"/>
      <c r="F15" s="63"/>
      <c r="G15" s="63"/>
      <c r="H15" s="63"/>
    </row>
    <row r="16" spans="1:9" x14ac:dyDescent="0.25">
      <c r="A16" s="63"/>
      <c r="B16" s="63"/>
      <c r="C16" s="63"/>
      <c r="D16" s="63"/>
      <c r="E16" s="63"/>
      <c r="F16" s="63"/>
      <c r="G16" s="63"/>
      <c r="H16" s="63"/>
    </row>
    <row r="17" spans="1:8" x14ac:dyDescent="0.25">
      <c r="A17" s="63"/>
      <c r="B17" s="63"/>
      <c r="C17" s="63"/>
      <c r="D17" s="63"/>
      <c r="E17" s="63"/>
      <c r="F17" s="63"/>
      <c r="G17" s="63"/>
      <c r="H17" s="63"/>
    </row>
    <row r="18" spans="1:8" x14ac:dyDescent="0.25">
      <c r="A18" s="63"/>
      <c r="B18" s="63"/>
      <c r="C18" s="63"/>
      <c r="D18" s="63"/>
      <c r="E18" s="63"/>
      <c r="F18" s="63"/>
      <c r="G18" s="63"/>
      <c r="H18" s="63"/>
    </row>
    <row r="19" spans="1:8" x14ac:dyDescent="0.25">
      <c r="A19" s="63"/>
      <c r="B19" s="63"/>
      <c r="C19" s="63"/>
      <c r="D19" s="63"/>
      <c r="E19" s="63"/>
      <c r="F19" s="63"/>
      <c r="G19" s="63"/>
      <c r="H19" s="63"/>
    </row>
    <row r="20" spans="1:8" x14ac:dyDescent="0.25">
      <c r="A20" s="63"/>
      <c r="B20" s="63"/>
      <c r="C20" s="63"/>
      <c r="D20" s="63"/>
      <c r="E20" s="63"/>
      <c r="F20" s="63"/>
      <c r="G20" s="63"/>
      <c r="H20" s="63"/>
    </row>
    <row r="21" spans="1:8" x14ac:dyDescent="0.25">
      <c r="A21" s="63"/>
      <c r="B21" s="63"/>
      <c r="C21" s="63"/>
      <c r="D21" s="63"/>
      <c r="E21" s="63"/>
      <c r="F21" s="63"/>
      <c r="G21" s="63"/>
      <c r="H21" s="63"/>
    </row>
    <row r="22" spans="1:8" x14ac:dyDescent="0.25">
      <c r="A22" s="63"/>
      <c r="B22" s="63"/>
      <c r="C22" s="63"/>
      <c r="D22" s="63"/>
      <c r="E22" s="63"/>
      <c r="F22" s="63"/>
      <c r="G22" s="63"/>
      <c r="H22" s="63"/>
    </row>
    <row r="23" spans="1:8" x14ac:dyDescent="0.25">
      <c r="A23" s="63"/>
      <c r="B23" s="63"/>
      <c r="C23" s="63"/>
      <c r="D23" s="63"/>
      <c r="E23" s="63"/>
      <c r="F23" s="63"/>
      <c r="G23" s="63"/>
      <c r="H23" s="63"/>
    </row>
    <row r="24" spans="1:8" x14ac:dyDescent="0.25">
      <c r="A24" s="63"/>
      <c r="B24" s="63"/>
      <c r="C24" s="63"/>
      <c r="D24" s="63"/>
      <c r="E24" s="63"/>
      <c r="F24" s="63"/>
      <c r="G24" s="63"/>
      <c r="H24" s="63"/>
    </row>
    <row r="25" spans="1:8" x14ac:dyDescent="0.25">
      <c r="A25" s="63"/>
      <c r="B25" s="63"/>
      <c r="C25" s="63"/>
      <c r="D25" s="63"/>
      <c r="E25" s="63"/>
      <c r="F25" s="63"/>
      <c r="G25" s="63"/>
      <c r="H25" s="63"/>
    </row>
    <row r="26" spans="1:8" x14ac:dyDescent="0.25">
      <c r="A26" s="63"/>
      <c r="B26" s="63"/>
      <c r="C26" s="63"/>
      <c r="D26" s="63"/>
      <c r="E26" s="63"/>
      <c r="F26" s="63"/>
      <c r="G26" s="63"/>
      <c r="H26" s="63"/>
    </row>
    <row r="27" spans="1:8" x14ac:dyDescent="0.25">
      <c r="A27" s="63"/>
      <c r="B27" s="63"/>
      <c r="C27" s="63"/>
      <c r="D27" s="63"/>
      <c r="E27" s="63"/>
      <c r="F27" s="63"/>
      <c r="G27" s="63"/>
      <c r="H27" s="63"/>
    </row>
    <row r="28" spans="1:8" x14ac:dyDescent="0.25">
      <c r="A28" s="63"/>
      <c r="B28" s="63"/>
      <c r="C28" s="63"/>
      <c r="D28" s="63"/>
      <c r="E28" s="63"/>
      <c r="F28" s="63"/>
      <c r="G28" s="63"/>
      <c r="H28" s="63"/>
    </row>
    <row r="29" spans="1:8" x14ac:dyDescent="0.25">
      <c r="A29" s="63"/>
      <c r="B29" s="63"/>
      <c r="C29" s="63"/>
      <c r="D29" s="63"/>
      <c r="E29" s="63"/>
      <c r="F29" s="63"/>
      <c r="G29" s="63"/>
      <c r="H29" s="63"/>
    </row>
    <row r="30" spans="1:8" x14ac:dyDescent="0.25">
      <c r="A30" s="63"/>
      <c r="B30" s="63"/>
      <c r="C30" s="63"/>
      <c r="D30" s="63"/>
      <c r="E30" s="63"/>
      <c r="F30" s="63"/>
      <c r="G30" s="63"/>
      <c r="H30" s="63"/>
    </row>
  </sheetData>
  <mergeCells count="7">
    <mergeCell ref="A5:B5"/>
    <mergeCell ref="C5:G5"/>
    <mergeCell ref="A1:B1"/>
    <mergeCell ref="H1:I1"/>
    <mergeCell ref="A2:B2"/>
    <mergeCell ref="A3:B3"/>
    <mergeCell ref="A4:B4"/>
  </mergeCells>
  <phoneticPr fontId="16" type="noConversion"/>
  <conditionalFormatting sqref="G8:G9">
    <cfRule type="cellIs" dxfId="95" priority="13" operator="equal">
      <formula>"FAIL"</formula>
    </cfRule>
  </conditionalFormatting>
  <conditionalFormatting sqref="G8:G9">
    <cfRule type="cellIs" dxfId="94" priority="14" operator="equal">
      <formula>"PASS"</formula>
    </cfRule>
  </conditionalFormatting>
  <conditionalFormatting sqref="G8:G9">
    <cfRule type="cellIs" dxfId="93" priority="15" operator="equal">
      <formula>"WARNING"</formula>
    </cfRule>
  </conditionalFormatting>
  <conditionalFormatting sqref="G8:G9">
    <cfRule type="containsBlanks" dxfId="92" priority="16">
      <formula>LEN(TRIM(G8))=0</formula>
    </cfRule>
  </conditionalFormatting>
  <conditionalFormatting sqref="I2">
    <cfRule type="cellIs" dxfId="91" priority="9" operator="equal">
      <formula>"FAIL"</formula>
    </cfRule>
  </conditionalFormatting>
  <conditionalFormatting sqref="I2">
    <cfRule type="cellIs" dxfId="90" priority="10" operator="equal">
      <formula>"PASS"</formula>
    </cfRule>
  </conditionalFormatting>
  <conditionalFormatting sqref="I2">
    <cfRule type="cellIs" dxfId="89" priority="11" operator="equal">
      <formula>"WARNING"</formula>
    </cfRule>
  </conditionalFormatting>
  <conditionalFormatting sqref="I2">
    <cfRule type="containsBlanks" dxfId="88" priority="12">
      <formula>LEN(TRIM(I2))=0</formula>
    </cfRule>
  </conditionalFormatting>
  <conditionalFormatting sqref="I3">
    <cfRule type="cellIs" dxfId="87" priority="5" operator="equal">
      <formula>"FAIL"</formula>
    </cfRule>
  </conditionalFormatting>
  <conditionalFormatting sqref="I3">
    <cfRule type="cellIs" dxfId="86" priority="6" operator="equal">
      <formula>"PASS"</formula>
    </cfRule>
  </conditionalFormatting>
  <conditionalFormatting sqref="I3">
    <cfRule type="cellIs" dxfId="85" priority="7" operator="equal">
      <formula>"WARNING"</formula>
    </cfRule>
  </conditionalFormatting>
  <conditionalFormatting sqref="I3">
    <cfRule type="containsBlanks" dxfId="84" priority="8">
      <formula>LEN(TRIM(I3))=0</formula>
    </cfRule>
  </conditionalFormatting>
  <conditionalFormatting sqref="G7">
    <cfRule type="cellIs" dxfId="83" priority="1" operator="equal">
      <formula>"FAIL"</formula>
    </cfRule>
  </conditionalFormatting>
  <conditionalFormatting sqref="G7">
    <cfRule type="cellIs" dxfId="82" priority="2" operator="equal">
      <formula>"PASS"</formula>
    </cfRule>
  </conditionalFormatting>
  <conditionalFormatting sqref="G7">
    <cfRule type="cellIs" dxfId="81" priority="3" operator="equal">
      <formula>"WARNING"</formula>
    </cfRule>
  </conditionalFormatting>
  <conditionalFormatting sqref="G7">
    <cfRule type="containsBlanks" dxfId="80" priority="4">
      <formula>LEN(TRIM(G7))=0</formula>
    </cfRule>
  </conditionalFormatting>
  <dataValidations count="1">
    <dataValidation type="list" allowBlank="1" showInputMessage="1" showErrorMessage="1" prompt="Click and enter a value from the list of items" sqref="G7:G9" xr:uid="{7EFEE467-F5FA-424C-9E02-4B497C016DA8}">
      <formula1>"PASS,FAIL,WARNING"</formula1>
    </dataValidation>
  </dataValidations>
  <hyperlinks>
    <hyperlink ref="H8" r:id="rId1" xr:uid="{128469FA-3313-4129-939B-905A537414D9}"/>
    <hyperlink ref="H9" r:id="rId2" xr:uid="{1966E65D-7217-4B89-8D52-6575137BA81C}"/>
    <hyperlink ref="H10" r:id="rId3" xr:uid="{A1FD9D4D-0878-4D49-950D-1A2E5495C330}"/>
    <hyperlink ref="H11" r:id="rId4" xr:uid="{822D9BE5-F6DF-4079-8D82-4C3FAC9F6007}"/>
    <hyperlink ref="H12" r:id="rId5" xr:uid="{A3C77F19-ED19-421D-8789-950CAB7F5795}"/>
    <hyperlink ref="H13" r:id="rId6" xr:uid="{D042DC22-86EE-4FE8-9E4B-394E57593F1C}"/>
  </hyperlink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F95D-9355-4462-8856-C0ED819D40B4}">
  <dimension ref="A1:I15"/>
  <sheetViews>
    <sheetView topLeftCell="A7" workbookViewId="0">
      <selection activeCell="E13" sqref="E13"/>
    </sheetView>
  </sheetViews>
  <sheetFormatPr defaultRowHeight="13.2" x14ac:dyDescent="0.25"/>
  <cols>
    <col min="1" max="1" width="16.44140625" customWidth="1"/>
    <col min="2" max="2" width="21.88671875" customWidth="1"/>
    <col min="3" max="3" width="29.109375" customWidth="1"/>
    <col min="4" max="4" width="21.77734375" customWidth="1"/>
    <col min="5" max="5" width="22.5546875" customWidth="1"/>
    <col min="6" max="6" width="20.88671875" customWidth="1"/>
    <col min="7" max="7" width="28.109375" customWidth="1"/>
    <col min="8" max="8" width="21.44140625" customWidth="1"/>
    <col min="9" max="9" width="14.77734375" customWidth="1"/>
  </cols>
  <sheetData>
    <row r="1" spans="1:9" ht="13.8" x14ac:dyDescent="0.3">
      <c r="A1" s="85" t="s">
        <v>4</v>
      </c>
      <c r="B1" s="82"/>
      <c r="C1" s="1" t="s">
        <v>33</v>
      </c>
      <c r="D1" s="4" t="s">
        <v>5</v>
      </c>
      <c r="E1" s="77" t="s">
        <v>600</v>
      </c>
      <c r="F1" s="6" t="s">
        <v>6</v>
      </c>
      <c r="G1" s="57" t="s">
        <v>600</v>
      </c>
      <c r="H1" s="86" t="s">
        <v>7</v>
      </c>
      <c r="I1" s="82"/>
    </row>
    <row r="2" spans="1:9" ht="27.6" x14ac:dyDescent="0.3">
      <c r="A2" s="84" t="s">
        <v>8</v>
      </c>
      <c r="B2" s="82"/>
      <c r="C2" s="2" t="s">
        <v>232</v>
      </c>
      <c r="D2" s="4" t="s">
        <v>9</v>
      </c>
      <c r="E2" s="77" t="s">
        <v>600</v>
      </c>
      <c r="F2" s="8" t="s">
        <v>10</v>
      </c>
      <c r="G2" s="5" t="s">
        <v>600</v>
      </c>
      <c r="H2" s="4" t="s">
        <v>0</v>
      </c>
      <c r="I2" s="40">
        <v>3</v>
      </c>
    </row>
    <row r="3" spans="1:9" ht="13.8" x14ac:dyDescent="0.25">
      <c r="A3" s="84"/>
      <c r="B3" s="82"/>
      <c r="C3" s="2"/>
      <c r="D3" s="9" t="s">
        <v>11</v>
      </c>
      <c r="E3" s="3" t="s">
        <v>27</v>
      </c>
      <c r="F3" s="1" t="s">
        <v>12</v>
      </c>
      <c r="G3" s="2">
        <v>1</v>
      </c>
      <c r="H3" s="10" t="s">
        <v>1</v>
      </c>
      <c r="I3" s="21">
        <v>3</v>
      </c>
    </row>
    <row r="4" spans="1:9" ht="13.8" x14ac:dyDescent="0.25">
      <c r="A4" s="84" t="s">
        <v>13</v>
      </c>
      <c r="B4" s="82"/>
      <c r="C4" s="2" t="s">
        <v>26</v>
      </c>
      <c r="D4" s="9" t="s">
        <v>14</v>
      </c>
      <c r="E4" s="2" t="s">
        <v>27</v>
      </c>
      <c r="F4" s="1" t="s">
        <v>15</v>
      </c>
      <c r="G4" s="11" t="s">
        <v>3</v>
      </c>
      <c r="H4" s="4" t="s">
        <v>16</v>
      </c>
      <c r="I4" s="22">
        <f>COUNTIF(G8:G43, "WARNING")</f>
        <v>0</v>
      </c>
    </row>
    <row r="5" spans="1:9" ht="13.8" x14ac:dyDescent="0.25">
      <c r="A5" s="81" t="s">
        <v>17</v>
      </c>
      <c r="B5" s="82"/>
      <c r="C5" s="81"/>
      <c r="D5" s="83"/>
      <c r="E5" s="83"/>
      <c r="F5" s="83"/>
      <c r="G5" s="82"/>
      <c r="H5" s="12" t="s">
        <v>18</v>
      </c>
      <c r="I5" s="23">
        <v>6</v>
      </c>
    </row>
    <row r="6" spans="1:9" ht="13.8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41.4" x14ac:dyDescent="0.25">
      <c r="A7" s="15" t="s">
        <v>233</v>
      </c>
      <c r="B7" s="16" t="s">
        <v>238</v>
      </c>
      <c r="C7" s="36" t="s">
        <v>239</v>
      </c>
      <c r="D7" s="17" t="s">
        <v>240</v>
      </c>
      <c r="E7" s="16" t="s">
        <v>241</v>
      </c>
      <c r="F7" s="17" t="s">
        <v>242</v>
      </c>
      <c r="G7" s="18" t="s">
        <v>0</v>
      </c>
      <c r="H7" s="37"/>
      <c r="I7" s="7"/>
    </row>
    <row r="8" spans="1:9" ht="41.4" x14ac:dyDescent="0.25">
      <c r="A8" s="15" t="s">
        <v>234</v>
      </c>
      <c r="B8" s="16" t="s">
        <v>243</v>
      </c>
      <c r="C8" s="38" t="s">
        <v>219</v>
      </c>
      <c r="D8" s="17" t="s">
        <v>240</v>
      </c>
      <c r="E8" s="16" t="s">
        <v>244</v>
      </c>
      <c r="F8" s="17" t="s">
        <v>31</v>
      </c>
      <c r="G8" s="18" t="s">
        <v>0</v>
      </c>
      <c r="H8" s="37"/>
      <c r="I8" s="7"/>
    </row>
    <row r="9" spans="1:9" ht="55.2" x14ac:dyDescent="0.25">
      <c r="A9" s="15" t="s">
        <v>235</v>
      </c>
      <c r="B9" s="16" t="s">
        <v>245</v>
      </c>
      <c r="C9" s="36" t="s">
        <v>246</v>
      </c>
      <c r="D9" s="16" t="s">
        <v>247</v>
      </c>
      <c r="E9" s="16" t="s">
        <v>248</v>
      </c>
      <c r="F9" s="16" t="s">
        <v>249</v>
      </c>
      <c r="G9" s="39" t="s">
        <v>1</v>
      </c>
      <c r="H9" s="37" t="s">
        <v>250</v>
      </c>
      <c r="I9" s="7"/>
    </row>
    <row r="10" spans="1:9" ht="55.2" x14ac:dyDescent="0.25">
      <c r="A10" s="19" t="s">
        <v>236</v>
      </c>
      <c r="B10" s="16" t="s">
        <v>251</v>
      </c>
      <c r="C10" s="42" t="s">
        <v>246</v>
      </c>
      <c r="D10" s="16" t="s">
        <v>252</v>
      </c>
      <c r="E10" s="16" t="s">
        <v>248</v>
      </c>
      <c r="F10" s="16" t="s">
        <v>249</v>
      </c>
      <c r="G10" s="50" t="s">
        <v>1</v>
      </c>
      <c r="H10" s="37" t="s">
        <v>253</v>
      </c>
      <c r="I10" s="7"/>
    </row>
    <row r="11" spans="1:9" ht="55.2" x14ac:dyDescent="0.25">
      <c r="A11" s="46" t="s">
        <v>237</v>
      </c>
      <c r="B11" s="48" t="s">
        <v>254</v>
      </c>
      <c r="C11" s="67" t="s">
        <v>255</v>
      </c>
      <c r="D11" s="48" t="s">
        <v>256</v>
      </c>
      <c r="E11" s="48" t="s">
        <v>257</v>
      </c>
      <c r="F11" s="48" t="s">
        <v>258</v>
      </c>
      <c r="G11" s="54" t="s">
        <v>30</v>
      </c>
    </row>
    <row r="12" spans="1:9" ht="52.8" x14ac:dyDescent="0.25">
      <c r="A12" s="46" t="s">
        <v>259</v>
      </c>
      <c r="B12" s="46" t="s">
        <v>260</v>
      </c>
      <c r="C12" s="56" t="s">
        <v>261</v>
      </c>
      <c r="D12" s="46" t="s">
        <v>262</v>
      </c>
      <c r="E12" s="46" t="s">
        <v>263</v>
      </c>
      <c r="F12" s="56" t="s">
        <v>264</v>
      </c>
      <c r="G12" s="52" t="s">
        <v>1</v>
      </c>
      <c r="H12" s="65" t="s">
        <v>265</v>
      </c>
    </row>
    <row r="13" spans="1:9" ht="39.6" x14ac:dyDescent="0.25">
      <c r="A13" s="46" t="s">
        <v>266</v>
      </c>
      <c r="B13" s="63"/>
      <c r="D13" s="63"/>
      <c r="E13" s="63"/>
      <c r="F13" s="63"/>
      <c r="G13" s="63"/>
      <c r="H13" s="63"/>
    </row>
    <row r="14" spans="1:9" ht="39.6" x14ac:dyDescent="0.25">
      <c r="A14" s="46" t="s">
        <v>266</v>
      </c>
      <c r="B14" s="63"/>
      <c r="D14" s="63"/>
      <c r="E14" s="63"/>
      <c r="F14" s="63"/>
      <c r="G14" s="63"/>
      <c r="H14" s="63"/>
    </row>
    <row r="15" spans="1:9" x14ac:dyDescent="0.25">
      <c r="E15" s="63"/>
      <c r="F15" s="63"/>
    </row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G8:G9">
    <cfRule type="cellIs" dxfId="79" priority="13" operator="equal">
      <formula>"FAIL"</formula>
    </cfRule>
  </conditionalFormatting>
  <conditionalFormatting sqref="G8:G9">
    <cfRule type="cellIs" dxfId="78" priority="14" operator="equal">
      <formula>"PASS"</formula>
    </cfRule>
  </conditionalFormatting>
  <conditionalFormatting sqref="G8:G9">
    <cfRule type="cellIs" dxfId="77" priority="15" operator="equal">
      <formula>"WARNING"</formula>
    </cfRule>
  </conditionalFormatting>
  <conditionalFormatting sqref="G8:G9">
    <cfRule type="containsBlanks" dxfId="76" priority="16">
      <formula>LEN(TRIM(G8))=0</formula>
    </cfRule>
  </conditionalFormatting>
  <conditionalFormatting sqref="I2">
    <cfRule type="cellIs" dxfId="75" priority="9" operator="equal">
      <formula>"FAIL"</formula>
    </cfRule>
  </conditionalFormatting>
  <conditionalFormatting sqref="I2">
    <cfRule type="cellIs" dxfId="74" priority="10" operator="equal">
      <formula>"PASS"</formula>
    </cfRule>
  </conditionalFormatting>
  <conditionalFormatting sqref="I2">
    <cfRule type="cellIs" dxfId="73" priority="11" operator="equal">
      <formula>"WARNING"</formula>
    </cfRule>
  </conditionalFormatting>
  <conditionalFormatting sqref="I2">
    <cfRule type="containsBlanks" dxfId="72" priority="12">
      <formula>LEN(TRIM(I2))=0</formula>
    </cfRule>
  </conditionalFormatting>
  <conditionalFormatting sqref="I3">
    <cfRule type="cellIs" dxfId="71" priority="5" operator="equal">
      <formula>"FAIL"</formula>
    </cfRule>
  </conditionalFormatting>
  <conditionalFormatting sqref="I3">
    <cfRule type="cellIs" dxfId="70" priority="6" operator="equal">
      <formula>"PASS"</formula>
    </cfRule>
  </conditionalFormatting>
  <conditionalFormatting sqref="I3">
    <cfRule type="cellIs" dxfId="69" priority="7" operator="equal">
      <formula>"WARNING"</formula>
    </cfRule>
  </conditionalFormatting>
  <conditionalFormatting sqref="I3">
    <cfRule type="containsBlanks" dxfId="68" priority="8">
      <formula>LEN(TRIM(I3))=0</formula>
    </cfRule>
  </conditionalFormatting>
  <conditionalFormatting sqref="G7">
    <cfRule type="cellIs" dxfId="67" priority="1" operator="equal">
      <formula>"FAIL"</formula>
    </cfRule>
  </conditionalFormatting>
  <conditionalFormatting sqref="G7">
    <cfRule type="cellIs" dxfId="66" priority="2" operator="equal">
      <formula>"PASS"</formula>
    </cfRule>
  </conditionalFormatting>
  <conditionalFormatting sqref="G7">
    <cfRule type="cellIs" dxfId="65" priority="3" operator="equal">
      <formula>"WARNING"</formula>
    </cfRule>
  </conditionalFormatting>
  <conditionalFormatting sqref="G7">
    <cfRule type="containsBlanks" dxfId="64" priority="4">
      <formula>LEN(TRIM(G7))=0</formula>
    </cfRule>
  </conditionalFormatting>
  <dataValidations count="1">
    <dataValidation type="list" allowBlank="1" showInputMessage="1" showErrorMessage="1" prompt="Click and enter a value from the list of items" sqref="G7:G9" xr:uid="{52BBF9D8-4C6E-4134-94CF-E99E0E0C783A}">
      <formula1>"PASS,FAIL,WARNING"</formula1>
    </dataValidation>
  </dataValidations>
  <hyperlinks>
    <hyperlink ref="H9" r:id="rId1" xr:uid="{2FEBA976-B6F1-4CC4-B196-7C2E82824294}"/>
    <hyperlink ref="H10" r:id="rId2" xr:uid="{4A0A3BA3-99AF-44BA-9039-57434B80A3A7}"/>
    <hyperlink ref="H12" r:id="rId3" xr:uid="{5A2F3A2D-DBBC-4F34-B341-BD1CE53BE88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2B22-2E2F-441C-B4DA-40078D73EEC1}">
  <dimension ref="A1:I13"/>
  <sheetViews>
    <sheetView topLeftCell="A10" workbookViewId="0">
      <selection activeCell="D11" sqref="D11"/>
    </sheetView>
  </sheetViews>
  <sheetFormatPr defaultRowHeight="13.2" x14ac:dyDescent="0.25"/>
  <cols>
    <col min="1" max="1" width="23.21875" customWidth="1"/>
    <col min="2" max="2" width="20.6640625" customWidth="1"/>
    <col min="3" max="3" width="29.109375" customWidth="1"/>
    <col min="4" max="4" width="21.77734375" customWidth="1"/>
    <col min="5" max="5" width="22.5546875" customWidth="1"/>
    <col min="6" max="6" width="18.5546875" customWidth="1"/>
    <col min="7" max="7" width="28.109375" customWidth="1"/>
    <col min="8" max="8" width="22.77734375" customWidth="1"/>
    <col min="9" max="9" width="20.6640625" customWidth="1"/>
  </cols>
  <sheetData>
    <row r="1" spans="1:9" ht="13.8" x14ac:dyDescent="0.25">
      <c r="A1" s="85" t="s">
        <v>4</v>
      </c>
      <c r="B1" s="82"/>
      <c r="C1" s="1" t="s">
        <v>33</v>
      </c>
      <c r="D1" s="4" t="s">
        <v>5</v>
      </c>
      <c r="E1" s="57" t="s">
        <v>267</v>
      </c>
      <c r="F1" s="6" t="s">
        <v>6</v>
      </c>
      <c r="G1" s="57" t="s">
        <v>267</v>
      </c>
      <c r="H1" s="86" t="s">
        <v>7</v>
      </c>
      <c r="I1" s="82"/>
    </row>
    <row r="2" spans="1:9" ht="27.6" x14ac:dyDescent="0.25">
      <c r="A2" s="84" t="s">
        <v>8</v>
      </c>
      <c r="B2" s="82"/>
      <c r="C2" s="2" t="s">
        <v>268</v>
      </c>
      <c r="D2" s="4" t="s">
        <v>9</v>
      </c>
      <c r="E2" s="5" t="s">
        <v>267</v>
      </c>
      <c r="F2" s="8" t="s">
        <v>10</v>
      </c>
      <c r="G2" s="5" t="s">
        <v>267</v>
      </c>
      <c r="H2" s="4" t="s">
        <v>0</v>
      </c>
      <c r="I2" s="40">
        <v>4</v>
      </c>
    </row>
    <row r="3" spans="1:9" ht="13.8" x14ac:dyDescent="0.25">
      <c r="A3" s="84"/>
      <c r="B3" s="82"/>
      <c r="C3" s="2"/>
      <c r="D3" s="9" t="s">
        <v>11</v>
      </c>
      <c r="E3" s="3" t="s">
        <v>27</v>
      </c>
      <c r="F3" s="1" t="s">
        <v>12</v>
      </c>
      <c r="G3" s="2">
        <v>1</v>
      </c>
      <c r="H3" s="10" t="s">
        <v>1</v>
      </c>
      <c r="I3" s="21">
        <v>3</v>
      </c>
    </row>
    <row r="4" spans="1:9" ht="13.8" x14ac:dyDescent="0.25">
      <c r="A4" s="84" t="s">
        <v>13</v>
      </c>
      <c r="B4" s="82"/>
      <c r="C4" s="2" t="s">
        <v>26</v>
      </c>
      <c r="D4" s="9" t="s">
        <v>14</v>
      </c>
      <c r="E4" s="2" t="s">
        <v>27</v>
      </c>
      <c r="F4" s="1" t="s">
        <v>15</v>
      </c>
      <c r="G4" s="11" t="s">
        <v>3</v>
      </c>
      <c r="H4" s="4" t="s">
        <v>16</v>
      </c>
      <c r="I4" s="22">
        <f>COUNTIF(G8:G37, "WARNING")</f>
        <v>0</v>
      </c>
    </row>
    <row r="5" spans="1:9" ht="13.8" x14ac:dyDescent="0.25">
      <c r="A5" s="81" t="s">
        <v>17</v>
      </c>
      <c r="B5" s="82"/>
      <c r="C5" s="81"/>
      <c r="D5" s="83"/>
      <c r="E5" s="83"/>
      <c r="F5" s="83"/>
      <c r="G5" s="82"/>
      <c r="H5" s="12" t="s">
        <v>18</v>
      </c>
      <c r="I5" s="23">
        <f>SUM(I2:I4:I3)</f>
        <v>7</v>
      </c>
    </row>
    <row r="6" spans="1:9" ht="13.8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41.4" x14ac:dyDescent="0.25">
      <c r="A7" s="15" t="s">
        <v>269</v>
      </c>
      <c r="B7" s="16" t="s">
        <v>276</v>
      </c>
      <c r="C7" s="36" t="s">
        <v>319</v>
      </c>
      <c r="D7" s="17" t="s">
        <v>277</v>
      </c>
      <c r="E7" s="16" t="s">
        <v>278</v>
      </c>
      <c r="F7" s="17" t="s">
        <v>283</v>
      </c>
      <c r="G7" s="18" t="s">
        <v>0</v>
      </c>
      <c r="H7" s="37"/>
      <c r="I7" s="7"/>
    </row>
    <row r="8" spans="1:9" ht="41.4" x14ac:dyDescent="0.25">
      <c r="A8" s="15" t="s">
        <v>270</v>
      </c>
      <c r="B8" s="16" t="s">
        <v>279</v>
      </c>
      <c r="C8" s="36" t="s">
        <v>280</v>
      </c>
      <c r="D8" s="17" t="s">
        <v>277</v>
      </c>
      <c r="E8" s="16" t="s">
        <v>281</v>
      </c>
      <c r="F8" s="17" t="s">
        <v>282</v>
      </c>
      <c r="G8" s="18" t="s">
        <v>0</v>
      </c>
      <c r="H8" s="37"/>
      <c r="I8" s="7"/>
    </row>
    <row r="9" spans="1:9" ht="41.4" x14ac:dyDescent="0.25">
      <c r="A9" s="15" t="s">
        <v>271</v>
      </c>
      <c r="B9" s="16" t="s">
        <v>284</v>
      </c>
      <c r="C9" s="36" t="s">
        <v>202</v>
      </c>
      <c r="D9" s="16" t="s">
        <v>277</v>
      </c>
      <c r="E9" s="16" t="s">
        <v>285</v>
      </c>
      <c r="F9" s="16" t="s">
        <v>286</v>
      </c>
      <c r="G9" s="39" t="s">
        <v>1</v>
      </c>
      <c r="H9" s="37" t="s">
        <v>295</v>
      </c>
      <c r="I9" s="7"/>
    </row>
    <row r="10" spans="1:9" ht="41.4" x14ac:dyDescent="0.25">
      <c r="A10" s="15" t="s">
        <v>272</v>
      </c>
      <c r="B10" s="16" t="s">
        <v>287</v>
      </c>
      <c r="C10" s="42" t="s">
        <v>202</v>
      </c>
      <c r="D10" s="16" t="s">
        <v>277</v>
      </c>
      <c r="E10" s="16" t="s">
        <v>288</v>
      </c>
      <c r="F10" s="16" t="s">
        <v>289</v>
      </c>
      <c r="G10" s="50" t="s">
        <v>1</v>
      </c>
      <c r="H10" s="37" t="s">
        <v>295</v>
      </c>
      <c r="I10" s="7"/>
    </row>
    <row r="11" spans="1:9" ht="55.2" x14ac:dyDescent="0.25">
      <c r="A11" s="15" t="s">
        <v>273</v>
      </c>
      <c r="B11" s="48" t="s">
        <v>290</v>
      </c>
      <c r="C11" s="68" t="s">
        <v>202</v>
      </c>
      <c r="D11" s="48" t="s">
        <v>291</v>
      </c>
      <c r="E11" s="48" t="s">
        <v>292</v>
      </c>
      <c r="F11" s="48" t="s">
        <v>293</v>
      </c>
      <c r="G11" s="49" t="s">
        <v>29</v>
      </c>
      <c r="H11" s="65" t="s">
        <v>294</v>
      </c>
    </row>
    <row r="12" spans="1:9" ht="92.4" x14ac:dyDescent="0.25">
      <c r="A12" s="15" t="s">
        <v>274</v>
      </c>
      <c r="B12" s="48" t="s">
        <v>296</v>
      </c>
      <c r="C12" s="47" t="s">
        <v>300</v>
      </c>
      <c r="D12" s="48" t="s">
        <v>297</v>
      </c>
      <c r="E12" s="48" t="s">
        <v>298</v>
      </c>
      <c r="F12" s="48" t="s">
        <v>299</v>
      </c>
      <c r="G12" s="66" t="s">
        <v>0</v>
      </c>
    </row>
    <row r="13" spans="1:9" ht="79.2" x14ac:dyDescent="0.25">
      <c r="A13" s="15" t="s">
        <v>275</v>
      </c>
      <c r="B13" s="48" t="s">
        <v>301</v>
      </c>
      <c r="C13" s="63" t="s">
        <v>302</v>
      </c>
      <c r="D13" s="64" t="s">
        <v>303</v>
      </c>
      <c r="E13" s="64" t="s">
        <v>304</v>
      </c>
      <c r="F13" s="63" t="s">
        <v>305</v>
      </c>
      <c r="G13" s="66" t="s">
        <v>0</v>
      </c>
      <c r="H13" s="63"/>
    </row>
  </sheetData>
  <mergeCells count="7">
    <mergeCell ref="A5:B5"/>
    <mergeCell ref="C5:G5"/>
    <mergeCell ref="A1:B1"/>
    <mergeCell ref="H1:I1"/>
    <mergeCell ref="A2:B2"/>
    <mergeCell ref="A3:B3"/>
    <mergeCell ref="A4:B4"/>
  </mergeCells>
  <phoneticPr fontId="16" type="noConversion"/>
  <conditionalFormatting sqref="G8:G9">
    <cfRule type="cellIs" dxfId="63" priority="13" operator="equal">
      <formula>"FAIL"</formula>
    </cfRule>
  </conditionalFormatting>
  <conditionalFormatting sqref="G8:G9">
    <cfRule type="cellIs" dxfId="62" priority="14" operator="equal">
      <formula>"PASS"</formula>
    </cfRule>
  </conditionalFormatting>
  <conditionalFormatting sqref="G8:G9">
    <cfRule type="cellIs" dxfId="61" priority="15" operator="equal">
      <formula>"WARNING"</formula>
    </cfRule>
  </conditionalFormatting>
  <conditionalFormatting sqref="G8:G9">
    <cfRule type="containsBlanks" dxfId="60" priority="16">
      <formula>LEN(TRIM(G8))=0</formula>
    </cfRule>
  </conditionalFormatting>
  <conditionalFormatting sqref="I2">
    <cfRule type="cellIs" dxfId="59" priority="9" operator="equal">
      <formula>"FAIL"</formula>
    </cfRule>
  </conditionalFormatting>
  <conditionalFormatting sqref="I2">
    <cfRule type="cellIs" dxfId="58" priority="10" operator="equal">
      <formula>"PASS"</formula>
    </cfRule>
  </conditionalFormatting>
  <conditionalFormatting sqref="I2">
    <cfRule type="cellIs" dxfId="57" priority="11" operator="equal">
      <formula>"WARNING"</formula>
    </cfRule>
  </conditionalFormatting>
  <conditionalFormatting sqref="I2">
    <cfRule type="containsBlanks" dxfId="56" priority="12">
      <formula>LEN(TRIM(I2))=0</formula>
    </cfRule>
  </conditionalFormatting>
  <conditionalFormatting sqref="I3">
    <cfRule type="cellIs" dxfId="55" priority="5" operator="equal">
      <formula>"FAIL"</formula>
    </cfRule>
  </conditionalFormatting>
  <conditionalFormatting sqref="I3">
    <cfRule type="cellIs" dxfId="54" priority="6" operator="equal">
      <formula>"PASS"</formula>
    </cfRule>
  </conditionalFormatting>
  <conditionalFormatting sqref="I3">
    <cfRule type="cellIs" dxfId="53" priority="7" operator="equal">
      <formula>"WARNING"</formula>
    </cfRule>
  </conditionalFormatting>
  <conditionalFormatting sqref="I3">
    <cfRule type="containsBlanks" dxfId="52" priority="8">
      <formula>LEN(TRIM(I3))=0</formula>
    </cfRule>
  </conditionalFormatting>
  <conditionalFormatting sqref="G7">
    <cfRule type="cellIs" dxfId="51" priority="1" operator="equal">
      <formula>"FAIL"</formula>
    </cfRule>
  </conditionalFormatting>
  <conditionalFormatting sqref="G7">
    <cfRule type="cellIs" dxfId="50" priority="2" operator="equal">
      <formula>"PASS"</formula>
    </cfRule>
  </conditionalFormatting>
  <conditionalFormatting sqref="G7">
    <cfRule type="cellIs" dxfId="49" priority="3" operator="equal">
      <formula>"WARNING"</formula>
    </cfRule>
  </conditionalFormatting>
  <conditionalFormatting sqref="G7">
    <cfRule type="containsBlanks" dxfId="48" priority="4">
      <formula>LEN(TRIM(G7))=0</formula>
    </cfRule>
  </conditionalFormatting>
  <dataValidations xWindow="1261" yWindow="661" count="1">
    <dataValidation type="list" allowBlank="1" showInputMessage="1" showErrorMessage="1" prompt="Click and enter a value from the list of items" sqref="G7:G9" xr:uid="{4AB1E2DC-42DE-4DEB-BD5A-87F28A336D25}">
      <formula1>"PASS,FAIL,WARNING"</formula1>
    </dataValidation>
  </dataValidations>
  <hyperlinks>
    <hyperlink ref="H11" r:id="rId1" xr:uid="{FB1C26D4-1F95-47BF-9142-EA8AE5A4924D}"/>
    <hyperlink ref="H9" r:id="rId2" xr:uid="{1CEF3FA9-D212-4F9A-9B1A-98CB39453FED}"/>
    <hyperlink ref="H10" r:id="rId3" xr:uid="{D170E604-D7D7-44A7-9223-D12F4A3AF334}"/>
  </hyperlinks>
  <pageMargins left="0.7" right="0.7" top="0.75" bottom="0.75" header="0.3" footer="0.3"/>
  <pageSetup paperSize="9"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E43A-F345-47BE-976A-47C3C11CE5E8}">
  <dimension ref="A1:I29"/>
  <sheetViews>
    <sheetView topLeftCell="A28" workbookViewId="0">
      <selection activeCell="B26" sqref="B26"/>
    </sheetView>
  </sheetViews>
  <sheetFormatPr defaultRowHeight="13.2" x14ac:dyDescent="0.25"/>
  <cols>
    <col min="1" max="1" width="24.21875" customWidth="1"/>
    <col min="2" max="2" width="19.21875" customWidth="1"/>
    <col min="3" max="4" width="24.21875" customWidth="1"/>
    <col min="5" max="5" width="24.5546875" customWidth="1"/>
    <col min="6" max="6" width="24" customWidth="1"/>
    <col min="7" max="7" width="24.5546875" customWidth="1"/>
    <col min="8" max="8" width="18.33203125" customWidth="1"/>
    <col min="9" max="9" width="23.21875" customWidth="1"/>
  </cols>
  <sheetData>
    <row r="1" spans="1:9" ht="13.8" x14ac:dyDescent="0.25">
      <c r="A1" s="85" t="s">
        <v>4</v>
      </c>
      <c r="B1" s="82"/>
      <c r="C1" s="1" t="s">
        <v>33</v>
      </c>
      <c r="D1" s="4" t="s">
        <v>5</v>
      </c>
      <c r="E1" s="57" t="s">
        <v>267</v>
      </c>
      <c r="F1" s="6" t="s">
        <v>6</v>
      </c>
      <c r="G1" s="57" t="s">
        <v>267</v>
      </c>
      <c r="H1" s="86" t="s">
        <v>7</v>
      </c>
      <c r="I1" s="82"/>
    </row>
    <row r="2" spans="1:9" ht="27.6" x14ac:dyDescent="0.25">
      <c r="A2" s="84" t="s">
        <v>8</v>
      </c>
      <c r="B2" s="82"/>
      <c r="C2" s="2" t="s">
        <v>306</v>
      </c>
      <c r="D2" s="4" t="s">
        <v>9</v>
      </c>
      <c r="E2" s="5" t="s">
        <v>267</v>
      </c>
      <c r="F2" s="8" t="s">
        <v>10</v>
      </c>
      <c r="G2" s="5" t="s">
        <v>267</v>
      </c>
      <c r="H2" s="4" t="s">
        <v>0</v>
      </c>
      <c r="I2" s="40">
        <f>COUNTIF(G7:G34, "PASS")</f>
        <v>18</v>
      </c>
    </row>
    <row r="3" spans="1:9" ht="13.8" x14ac:dyDescent="0.25">
      <c r="A3" s="84"/>
      <c r="B3" s="82"/>
      <c r="C3" s="2"/>
      <c r="D3" s="9" t="s">
        <v>11</v>
      </c>
      <c r="E3" s="3" t="s">
        <v>27</v>
      </c>
      <c r="F3" s="1" t="s">
        <v>12</v>
      </c>
      <c r="G3" s="2">
        <v>1</v>
      </c>
      <c r="H3" s="10" t="s">
        <v>1</v>
      </c>
      <c r="I3" s="21">
        <f>COUNTIF(G8:G34, "Fail")</f>
        <v>5</v>
      </c>
    </row>
    <row r="4" spans="1:9" ht="13.8" x14ac:dyDescent="0.25">
      <c r="A4" s="84" t="s">
        <v>13</v>
      </c>
      <c r="B4" s="82"/>
      <c r="C4" s="2" t="s">
        <v>26</v>
      </c>
      <c r="D4" s="9" t="s">
        <v>14</v>
      </c>
      <c r="E4" s="2" t="s">
        <v>27</v>
      </c>
      <c r="F4" s="1" t="s">
        <v>15</v>
      </c>
      <c r="G4" s="11" t="s">
        <v>3</v>
      </c>
      <c r="H4" s="4" t="s">
        <v>16</v>
      </c>
      <c r="I4" s="22">
        <f>COUNTIF(G8:G34, "WARNING")</f>
        <v>0</v>
      </c>
    </row>
    <row r="5" spans="1:9" ht="13.8" x14ac:dyDescent="0.25">
      <c r="A5" s="81" t="s">
        <v>17</v>
      </c>
      <c r="B5" s="82"/>
      <c r="C5" s="81"/>
      <c r="D5" s="83"/>
      <c r="E5" s="83"/>
      <c r="F5" s="83"/>
      <c r="G5" s="82"/>
      <c r="H5" s="12" t="s">
        <v>18</v>
      </c>
      <c r="I5" s="23">
        <f>SUM(I2:I4:I3)</f>
        <v>23</v>
      </c>
    </row>
    <row r="6" spans="1:9" ht="13.8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41.4" x14ac:dyDescent="0.25">
      <c r="A7" s="15" t="s">
        <v>307</v>
      </c>
      <c r="B7" s="16" t="s">
        <v>317</v>
      </c>
      <c r="C7" s="36" t="s">
        <v>318</v>
      </c>
      <c r="D7" s="17" t="s">
        <v>320</v>
      </c>
      <c r="E7" s="16" t="s">
        <v>321</v>
      </c>
      <c r="F7" s="17" t="s">
        <v>242</v>
      </c>
      <c r="G7" s="18" t="s">
        <v>0</v>
      </c>
      <c r="H7" s="37"/>
      <c r="I7" s="7"/>
    </row>
    <row r="8" spans="1:9" ht="41.4" x14ac:dyDescent="0.25">
      <c r="A8" s="15" t="s">
        <v>308</v>
      </c>
      <c r="B8" s="16" t="s">
        <v>279</v>
      </c>
      <c r="C8" s="36" t="s">
        <v>219</v>
      </c>
      <c r="D8" s="17" t="s">
        <v>320</v>
      </c>
      <c r="E8" s="16" t="s">
        <v>281</v>
      </c>
      <c r="F8" s="17" t="s">
        <v>282</v>
      </c>
      <c r="G8" s="18" t="s">
        <v>0</v>
      </c>
      <c r="H8" s="37"/>
      <c r="I8" s="7"/>
    </row>
    <row r="9" spans="1:9" ht="69" x14ac:dyDescent="0.25">
      <c r="A9" s="15" t="s">
        <v>309</v>
      </c>
      <c r="B9" s="16" t="s">
        <v>322</v>
      </c>
      <c r="C9" s="36" t="s">
        <v>323</v>
      </c>
      <c r="D9" s="16" t="s">
        <v>324</v>
      </c>
      <c r="E9" s="16" t="s">
        <v>325</v>
      </c>
      <c r="F9" s="16" t="s">
        <v>326</v>
      </c>
      <c r="G9" s="39" t="s">
        <v>0</v>
      </c>
      <c r="H9" s="32"/>
      <c r="I9" s="7"/>
    </row>
    <row r="10" spans="1:9" ht="52.8" x14ac:dyDescent="0.25">
      <c r="A10" s="15" t="s">
        <v>310</v>
      </c>
      <c r="B10" s="46" t="s">
        <v>328</v>
      </c>
      <c r="C10" s="46" t="s">
        <v>356</v>
      </c>
      <c r="D10" s="46" t="s">
        <v>329</v>
      </c>
      <c r="E10" s="46" t="s">
        <v>327</v>
      </c>
      <c r="F10" s="46" t="s">
        <v>330</v>
      </c>
      <c r="G10" s="52" t="s">
        <v>1</v>
      </c>
      <c r="H10" s="63"/>
    </row>
    <row r="11" spans="1:9" ht="79.2" x14ac:dyDescent="0.25">
      <c r="A11" s="15" t="s">
        <v>311</v>
      </c>
      <c r="B11" s="46" t="s">
        <v>335</v>
      </c>
      <c r="C11" s="56" t="s">
        <v>331</v>
      </c>
      <c r="D11" s="46" t="s">
        <v>348</v>
      </c>
      <c r="E11" s="46" t="s">
        <v>327</v>
      </c>
      <c r="F11" s="46" t="s">
        <v>333</v>
      </c>
      <c r="G11" s="53" t="s">
        <v>0</v>
      </c>
      <c r="H11" s="63"/>
    </row>
    <row r="12" spans="1:9" ht="52.8" x14ac:dyDescent="0.25">
      <c r="A12" s="15" t="s">
        <v>312</v>
      </c>
      <c r="B12" s="46" t="s">
        <v>328</v>
      </c>
      <c r="C12" s="56" t="s">
        <v>353</v>
      </c>
      <c r="D12" s="46" t="s">
        <v>332</v>
      </c>
      <c r="E12" s="46" t="s">
        <v>327</v>
      </c>
      <c r="F12" s="46" t="s">
        <v>333</v>
      </c>
      <c r="G12" s="53" t="s">
        <v>0</v>
      </c>
      <c r="H12" s="63"/>
    </row>
    <row r="13" spans="1:9" ht="79.2" x14ac:dyDescent="0.25">
      <c r="A13" s="15" t="s">
        <v>313</v>
      </c>
      <c r="B13" s="46" t="s">
        <v>334</v>
      </c>
      <c r="C13" s="56" t="s">
        <v>331</v>
      </c>
      <c r="D13" s="46" t="s">
        <v>349</v>
      </c>
      <c r="E13" s="46" t="s">
        <v>327</v>
      </c>
      <c r="F13" s="46" t="s">
        <v>339</v>
      </c>
      <c r="G13" s="53" t="s">
        <v>0</v>
      </c>
      <c r="H13" s="63"/>
    </row>
    <row r="14" spans="1:9" ht="52.8" x14ac:dyDescent="0.25">
      <c r="A14" s="15" t="s">
        <v>314</v>
      </c>
      <c r="B14" s="46" t="s">
        <v>328</v>
      </c>
      <c r="C14" s="56" t="s">
        <v>354</v>
      </c>
      <c r="D14" s="46" t="s">
        <v>336</v>
      </c>
      <c r="E14" s="46" t="s">
        <v>327</v>
      </c>
      <c r="F14" s="46" t="s">
        <v>337</v>
      </c>
      <c r="G14" s="53" t="s">
        <v>0</v>
      </c>
      <c r="H14" s="63"/>
    </row>
    <row r="15" spans="1:9" ht="79.2" x14ac:dyDescent="0.25">
      <c r="A15" s="15" t="s">
        <v>315</v>
      </c>
      <c r="B15" s="46" t="s">
        <v>338</v>
      </c>
      <c r="C15" s="56" t="s">
        <v>331</v>
      </c>
      <c r="D15" s="46" t="s">
        <v>350</v>
      </c>
      <c r="E15" s="46" t="s">
        <v>327</v>
      </c>
      <c r="F15" s="46" t="s">
        <v>339</v>
      </c>
      <c r="G15" s="53" t="s">
        <v>0</v>
      </c>
      <c r="H15" s="63"/>
    </row>
    <row r="16" spans="1:9" ht="52.8" x14ac:dyDescent="0.25">
      <c r="A16" s="15" t="s">
        <v>316</v>
      </c>
      <c r="B16" s="46" t="s">
        <v>352</v>
      </c>
      <c r="C16" s="56" t="s">
        <v>355</v>
      </c>
      <c r="D16" s="46" t="s">
        <v>340</v>
      </c>
      <c r="E16" s="46" t="s">
        <v>327</v>
      </c>
      <c r="F16" s="46" t="s">
        <v>337</v>
      </c>
      <c r="G16" s="53" t="s">
        <v>0</v>
      </c>
      <c r="H16" s="63"/>
    </row>
    <row r="17" spans="1:7" ht="79.2" x14ac:dyDescent="0.25">
      <c r="A17" s="15" t="s">
        <v>341</v>
      </c>
      <c r="B17" s="46" t="s">
        <v>338</v>
      </c>
      <c r="C17" s="56" t="s">
        <v>331</v>
      </c>
      <c r="D17" s="46" t="s">
        <v>351</v>
      </c>
      <c r="E17" s="46" t="s">
        <v>327</v>
      </c>
      <c r="F17" s="46" t="s">
        <v>339</v>
      </c>
      <c r="G17" s="53" t="s">
        <v>0</v>
      </c>
    </row>
    <row r="18" spans="1:7" ht="79.2" x14ac:dyDescent="0.25">
      <c r="A18" s="15" t="s">
        <v>342</v>
      </c>
      <c r="B18" s="46" t="s">
        <v>352</v>
      </c>
      <c r="C18" s="46" t="s">
        <v>357</v>
      </c>
      <c r="D18" s="46" t="s">
        <v>358</v>
      </c>
      <c r="E18" s="46" t="s">
        <v>327</v>
      </c>
      <c r="F18" s="46" t="s">
        <v>337</v>
      </c>
      <c r="G18" s="53" t="s">
        <v>0</v>
      </c>
    </row>
    <row r="19" spans="1:7" ht="66" x14ac:dyDescent="0.25">
      <c r="A19" s="15" t="s">
        <v>343</v>
      </c>
      <c r="B19" s="46" t="s">
        <v>361</v>
      </c>
      <c r="C19" s="46" t="s">
        <v>359</v>
      </c>
      <c r="D19" s="46" t="s">
        <v>360</v>
      </c>
      <c r="E19" s="46" t="s">
        <v>327</v>
      </c>
      <c r="F19" s="46" t="s">
        <v>330</v>
      </c>
      <c r="G19" s="52" t="s">
        <v>1</v>
      </c>
    </row>
    <row r="20" spans="1:7" ht="66" x14ac:dyDescent="0.25">
      <c r="A20" s="15" t="s">
        <v>344</v>
      </c>
      <c r="B20" s="46" t="s">
        <v>362</v>
      </c>
      <c r="C20" s="56" t="s">
        <v>331</v>
      </c>
      <c r="D20" s="46" t="s">
        <v>363</v>
      </c>
      <c r="E20" s="46" t="s">
        <v>327</v>
      </c>
      <c r="F20" s="46" t="s">
        <v>337</v>
      </c>
      <c r="G20" s="53" t="s">
        <v>0</v>
      </c>
    </row>
    <row r="21" spans="1:7" ht="52.8" x14ac:dyDescent="0.25">
      <c r="A21" s="15" t="s">
        <v>345</v>
      </c>
      <c r="B21" s="46" t="s">
        <v>364</v>
      </c>
      <c r="C21" s="46" t="s">
        <v>365</v>
      </c>
      <c r="D21" s="46" t="s">
        <v>366</v>
      </c>
      <c r="E21" s="46" t="s">
        <v>367</v>
      </c>
      <c r="F21" s="56" t="s">
        <v>242</v>
      </c>
      <c r="G21" s="53" t="s">
        <v>0</v>
      </c>
    </row>
    <row r="22" spans="1:7" ht="66" x14ac:dyDescent="0.25">
      <c r="A22" s="15" t="s">
        <v>346</v>
      </c>
      <c r="B22" s="46" t="s">
        <v>368</v>
      </c>
      <c r="C22" s="56" t="s">
        <v>369</v>
      </c>
      <c r="D22" s="46" t="s">
        <v>370</v>
      </c>
      <c r="E22" s="46" t="s">
        <v>371</v>
      </c>
      <c r="F22" s="56" t="s">
        <v>372</v>
      </c>
      <c r="G22" s="53" t="s">
        <v>0</v>
      </c>
    </row>
    <row r="23" spans="1:7" ht="79.2" x14ac:dyDescent="0.25">
      <c r="A23" s="15" t="s">
        <v>347</v>
      </c>
      <c r="B23" s="46" t="s">
        <v>373</v>
      </c>
      <c r="C23" s="56" t="s">
        <v>380</v>
      </c>
      <c r="D23" s="46" t="s">
        <v>381</v>
      </c>
      <c r="E23" s="46" t="s">
        <v>371</v>
      </c>
      <c r="F23" s="56" t="s">
        <v>372</v>
      </c>
      <c r="G23" s="53" t="s">
        <v>0</v>
      </c>
    </row>
    <row r="24" spans="1:7" ht="52.8" x14ac:dyDescent="0.25">
      <c r="A24" s="15" t="s">
        <v>374</v>
      </c>
      <c r="B24" s="46" t="s">
        <v>382</v>
      </c>
      <c r="C24" s="56" t="s">
        <v>392</v>
      </c>
      <c r="D24" s="46" t="s">
        <v>366</v>
      </c>
      <c r="E24" s="46" t="s">
        <v>383</v>
      </c>
      <c r="F24" s="56" t="s">
        <v>384</v>
      </c>
      <c r="G24" s="53" t="s">
        <v>0</v>
      </c>
    </row>
    <row r="25" spans="1:7" ht="92.4" x14ac:dyDescent="0.25">
      <c r="A25" s="15" t="s">
        <v>375</v>
      </c>
      <c r="B25" s="46" t="s">
        <v>385</v>
      </c>
      <c r="C25" s="65" t="s">
        <v>386</v>
      </c>
      <c r="D25" s="46" t="s">
        <v>396</v>
      </c>
      <c r="E25" s="46" t="s">
        <v>371</v>
      </c>
      <c r="F25" s="56" t="s">
        <v>387</v>
      </c>
      <c r="G25" s="52" t="s">
        <v>1</v>
      </c>
    </row>
    <row r="26" spans="1:7" ht="105.6" x14ac:dyDescent="0.25">
      <c r="A26" s="15" t="s">
        <v>376</v>
      </c>
      <c r="B26" s="46" t="s">
        <v>388</v>
      </c>
      <c r="C26" s="56" t="s">
        <v>389</v>
      </c>
      <c r="D26" s="46" t="s">
        <v>395</v>
      </c>
      <c r="E26" s="46" t="s">
        <v>390</v>
      </c>
      <c r="F26" s="46" t="s">
        <v>391</v>
      </c>
      <c r="G26" s="52" t="s">
        <v>1</v>
      </c>
    </row>
    <row r="27" spans="1:7" ht="105.6" x14ac:dyDescent="0.25">
      <c r="A27" s="15" t="s">
        <v>377</v>
      </c>
      <c r="B27" s="46" t="s">
        <v>393</v>
      </c>
      <c r="C27" s="56" t="s">
        <v>389</v>
      </c>
      <c r="D27" s="46" t="s">
        <v>394</v>
      </c>
      <c r="E27" s="46" t="s">
        <v>397</v>
      </c>
      <c r="F27" s="46" t="s">
        <v>398</v>
      </c>
      <c r="G27" s="53" t="s">
        <v>0</v>
      </c>
    </row>
    <row r="28" spans="1:7" ht="92.4" x14ac:dyDescent="0.25">
      <c r="A28" s="15" t="s">
        <v>378</v>
      </c>
      <c r="B28" s="46" t="s">
        <v>399</v>
      </c>
      <c r="C28" s="65" t="s">
        <v>400</v>
      </c>
      <c r="D28" s="46" t="s">
        <v>401</v>
      </c>
      <c r="E28" s="46" t="s">
        <v>402</v>
      </c>
      <c r="F28" s="56" t="s">
        <v>403</v>
      </c>
      <c r="G28" s="52" t="s">
        <v>1</v>
      </c>
    </row>
    <row r="29" spans="1:7" ht="92.4" x14ac:dyDescent="0.25">
      <c r="A29" s="15" t="s">
        <v>379</v>
      </c>
      <c r="B29" s="46" t="s">
        <v>404</v>
      </c>
      <c r="C29" s="65" t="s">
        <v>405</v>
      </c>
      <c r="D29" s="46" t="s">
        <v>401</v>
      </c>
      <c r="E29" s="46" t="s">
        <v>406</v>
      </c>
      <c r="F29" s="56" t="s">
        <v>407</v>
      </c>
      <c r="G29" s="53" t="s">
        <v>0</v>
      </c>
    </row>
  </sheetData>
  <mergeCells count="7">
    <mergeCell ref="A5:B5"/>
    <mergeCell ref="C5:G5"/>
    <mergeCell ref="A1:B1"/>
    <mergeCell ref="H1:I1"/>
    <mergeCell ref="A2:B2"/>
    <mergeCell ref="A3:B3"/>
    <mergeCell ref="A4:B4"/>
  </mergeCells>
  <phoneticPr fontId="10" type="noConversion"/>
  <conditionalFormatting sqref="G8:G9">
    <cfRule type="cellIs" dxfId="47" priority="13" operator="equal">
      <formula>"FAIL"</formula>
    </cfRule>
  </conditionalFormatting>
  <conditionalFormatting sqref="G8:G9">
    <cfRule type="cellIs" dxfId="46" priority="14" operator="equal">
      <formula>"PASS"</formula>
    </cfRule>
  </conditionalFormatting>
  <conditionalFormatting sqref="G8:G9">
    <cfRule type="cellIs" dxfId="45" priority="15" operator="equal">
      <formula>"WARNING"</formula>
    </cfRule>
  </conditionalFormatting>
  <conditionalFormatting sqref="G8:G9">
    <cfRule type="containsBlanks" dxfId="44" priority="16">
      <formula>LEN(TRIM(G8))=0</formula>
    </cfRule>
  </conditionalFormatting>
  <conditionalFormatting sqref="I2">
    <cfRule type="cellIs" dxfId="43" priority="9" operator="equal">
      <formula>"FAIL"</formula>
    </cfRule>
  </conditionalFormatting>
  <conditionalFormatting sqref="I2">
    <cfRule type="cellIs" dxfId="42" priority="10" operator="equal">
      <formula>"PASS"</formula>
    </cfRule>
  </conditionalFormatting>
  <conditionalFormatting sqref="I2">
    <cfRule type="cellIs" dxfId="41" priority="11" operator="equal">
      <formula>"WARNING"</formula>
    </cfRule>
  </conditionalFormatting>
  <conditionalFormatting sqref="I2">
    <cfRule type="containsBlanks" dxfId="40" priority="12">
      <formula>LEN(TRIM(I2))=0</formula>
    </cfRule>
  </conditionalFormatting>
  <conditionalFormatting sqref="I3">
    <cfRule type="cellIs" dxfId="39" priority="5" operator="equal">
      <formula>"FAIL"</formula>
    </cfRule>
  </conditionalFormatting>
  <conditionalFormatting sqref="I3">
    <cfRule type="cellIs" dxfId="38" priority="6" operator="equal">
      <formula>"PASS"</formula>
    </cfRule>
  </conditionalFormatting>
  <conditionalFormatting sqref="I3">
    <cfRule type="cellIs" dxfId="37" priority="7" operator="equal">
      <formula>"WARNING"</formula>
    </cfRule>
  </conditionalFormatting>
  <conditionalFormatting sqref="I3">
    <cfRule type="containsBlanks" dxfId="36" priority="8">
      <formula>LEN(TRIM(I3))=0</formula>
    </cfRule>
  </conditionalFormatting>
  <conditionalFormatting sqref="G7">
    <cfRule type="cellIs" dxfId="35" priority="1" operator="equal">
      <formula>"FAIL"</formula>
    </cfRule>
  </conditionalFormatting>
  <conditionalFormatting sqref="G7">
    <cfRule type="cellIs" dxfId="34" priority="2" operator="equal">
      <formula>"PASS"</formula>
    </cfRule>
  </conditionalFormatting>
  <conditionalFormatting sqref="G7">
    <cfRule type="cellIs" dxfId="33" priority="3" operator="equal">
      <formula>"WARNING"</formula>
    </cfRule>
  </conditionalFormatting>
  <conditionalFormatting sqref="G7">
    <cfRule type="containsBlanks" dxfId="32" priority="4">
      <formula>LEN(TRIM(G7))=0</formula>
    </cfRule>
  </conditionalFormatting>
  <dataValidations count="1">
    <dataValidation type="list" allowBlank="1" showInputMessage="1" showErrorMessage="1" prompt="Click and enter a value from the list of items" sqref="G7:G9" xr:uid="{1BFF0C2D-6A53-436D-8F34-95AEF52457C6}">
      <formula1>"PASS,FAIL,WARNING"</formula1>
    </dataValidation>
  </dataValidations>
  <hyperlinks>
    <hyperlink ref="C25" r:id="rId1" xr:uid="{2CB90404-3702-4191-97D4-1542FEEEB618}"/>
    <hyperlink ref="C28" r:id="rId2" xr:uid="{5A7E68BB-56DA-4915-BDC3-57FE962E3C22}"/>
    <hyperlink ref="C29" r:id="rId3" xr:uid="{D73BBBA7-FCE4-4A71-A0F2-9E70F169C1C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1EA6-1EA3-4BFA-B6B7-4CB4A138DDB1}">
  <dimension ref="A1:I22"/>
  <sheetViews>
    <sheetView topLeftCell="A19" zoomScaleNormal="100" workbookViewId="0">
      <selection activeCell="C22" sqref="C22"/>
    </sheetView>
  </sheetViews>
  <sheetFormatPr defaultRowHeight="13.2" x14ac:dyDescent="0.25"/>
  <cols>
    <col min="1" max="1" width="24.21875" customWidth="1"/>
    <col min="2" max="2" width="25.6640625" customWidth="1"/>
    <col min="3" max="3" width="24.21875" customWidth="1"/>
    <col min="4" max="4" width="29.33203125" customWidth="1"/>
    <col min="5" max="5" width="28.6640625" customWidth="1"/>
    <col min="6" max="6" width="24.5546875" customWidth="1"/>
    <col min="7" max="7" width="21" customWidth="1"/>
    <col min="8" max="8" width="19.44140625" customWidth="1"/>
    <col min="9" max="9" width="16.33203125" customWidth="1"/>
  </cols>
  <sheetData>
    <row r="1" spans="1:9" ht="13.8" x14ac:dyDescent="0.25">
      <c r="A1" s="85" t="s">
        <v>4</v>
      </c>
      <c r="B1" s="82"/>
      <c r="C1" s="1" t="s">
        <v>33</v>
      </c>
      <c r="D1" s="4" t="s">
        <v>5</v>
      </c>
      <c r="E1" s="57" t="s">
        <v>409</v>
      </c>
      <c r="F1" s="6" t="s">
        <v>6</v>
      </c>
      <c r="G1" s="57" t="s">
        <v>409</v>
      </c>
      <c r="H1" s="86" t="s">
        <v>7</v>
      </c>
      <c r="I1" s="82"/>
    </row>
    <row r="2" spans="1:9" ht="27.6" x14ac:dyDescent="0.25">
      <c r="A2" s="84" t="s">
        <v>8</v>
      </c>
      <c r="B2" s="82"/>
      <c r="C2" s="2" t="s">
        <v>408</v>
      </c>
      <c r="D2" s="4" t="s">
        <v>9</v>
      </c>
      <c r="E2" s="5" t="s">
        <v>409</v>
      </c>
      <c r="F2" s="8" t="s">
        <v>10</v>
      </c>
      <c r="G2" s="5" t="s">
        <v>409</v>
      </c>
      <c r="H2" s="4" t="s">
        <v>0</v>
      </c>
      <c r="I2" s="40">
        <f>COUNTIF(G7:G39, "PASS")</f>
        <v>14</v>
      </c>
    </row>
    <row r="3" spans="1:9" ht="13.8" x14ac:dyDescent="0.25">
      <c r="A3" s="84"/>
      <c r="B3" s="82"/>
      <c r="C3" s="2"/>
      <c r="D3" s="9" t="s">
        <v>11</v>
      </c>
      <c r="E3" s="3" t="s">
        <v>27</v>
      </c>
      <c r="F3" s="1" t="s">
        <v>12</v>
      </c>
      <c r="G3" s="2">
        <v>1</v>
      </c>
      <c r="H3" s="10" t="s">
        <v>1</v>
      </c>
      <c r="I3" s="21">
        <v>2</v>
      </c>
    </row>
    <row r="4" spans="1:9" ht="13.8" x14ac:dyDescent="0.25">
      <c r="A4" s="84" t="s">
        <v>13</v>
      </c>
      <c r="B4" s="82"/>
      <c r="C4" s="2" t="s">
        <v>26</v>
      </c>
      <c r="D4" s="9" t="s">
        <v>14</v>
      </c>
      <c r="E4" s="2" t="s">
        <v>27</v>
      </c>
      <c r="F4" s="1" t="s">
        <v>15</v>
      </c>
      <c r="G4" s="11" t="s">
        <v>3</v>
      </c>
      <c r="H4" s="4" t="s">
        <v>16</v>
      </c>
      <c r="I4" s="22">
        <f>COUNTIF(G8:G39, "WARNING")</f>
        <v>0</v>
      </c>
    </row>
    <row r="5" spans="1:9" ht="13.8" x14ac:dyDescent="0.25">
      <c r="A5" s="81" t="s">
        <v>17</v>
      </c>
      <c r="B5" s="82"/>
      <c r="C5" s="81"/>
      <c r="D5" s="83"/>
      <c r="E5" s="83"/>
      <c r="F5" s="83"/>
      <c r="G5" s="82"/>
      <c r="H5" s="12" t="s">
        <v>18</v>
      </c>
      <c r="I5" s="23">
        <f>SUM(I2:I4:I3)</f>
        <v>16</v>
      </c>
    </row>
    <row r="6" spans="1:9" ht="13.8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41.4" x14ac:dyDescent="0.25">
      <c r="A7" s="15" t="s">
        <v>410</v>
      </c>
      <c r="B7" s="16" t="s">
        <v>422</v>
      </c>
      <c r="C7" s="36" t="s">
        <v>423</v>
      </c>
      <c r="D7" s="17" t="s">
        <v>424</v>
      </c>
      <c r="E7" s="16" t="s">
        <v>602</v>
      </c>
      <c r="F7" s="17" t="s">
        <v>425</v>
      </c>
      <c r="G7" s="18" t="s">
        <v>0</v>
      </c>
      <c r="H7" s="37"/>
      <c r="I7" s="7"/>
    </row>
    <row r="8" spans="1:9" ht="27.6" x14ac:dyDescent="0.25">
      <c r="A8" s="15" t="s">
        <v>411</v>
      </c>
      <c r="B8" s="16" t="s">
        <v>426</v>
      </c>
      <c r="C8" s="36" t="s">
        <v>427</v>
      </c>
      <c r="D8" s="17" t="s">
        <v>424</v>
      </c>
      <c r="E8" s="16" t="s">
        <v>428</v>
      </c>
      <c r="F8" s="17" t="s">
        <v>433</v>
      </c>
      <c r="G8" s="18" t="s">
        <v>0</v>
      </c>
      <c r="H8" s="37"/>
      <c r="I8" s="7"/>
    </row>
    <row r="9" spans="1:9" ht="27.6" x14ac:dyDescent="0.25">
      <c r="A9" s="15" t="s">
        <v>412</v>
      </c>
      <c r="B9" s="16" t="s">
        <v>429</v>
      </c>
      <c r="C9" s="36" t="s">
        <v>431</v>
      </c>
      <c r="D9" s="16" t="s">
        <v>424</v>
      </c>
      <c r="E9" s="16" t="s">
        <v>430</v>
      </c>
      <c r="F9" s="16" t="s">
        <v>432</v>
      </c>
      <c r="G9" s="39" t="s">
        <v>0</v>
      </c>
      <c r="H9" s="32"/>
      <c r="I9" s="7"/>
    </row>
    <row r="10" spans="1:9" ht="27.6" x14ac:dyDescent="0.25">
      <c r="A10" s="15" t="s">
        <v>413</v>
      </c>
      <c r="B10" s="48" t="s">
        <v>434</v>
      </c>
      <c r="C10" s="56" t="s">
        <v>202</v>
      </c>
      <c r="D10" s="48" t="s">
        <v>424</v>
      </c>
      <c r="E10" s="48" t="s">
        <v>435</v>
      </c>
      <c r="F10" s="48" t="s">
        <v>436</v>
      </c>
      <c r="G10" s="52" t="s">
        <v>1</v>
      </c>
      <c r="H10" s="65" t="s">
        <v>442</v>
      </c>
    </row>
    <row r="11" spans="1:9" ht="55.2" x14ac:dyDescent="0.25">
      <c r="A11" s="15" t="s">
        <v>414</v>
      </c>
      <c r="B11" s="48" t="s">
        <v>437</v>
      </c>
      <c r="C11" s="46" t="s">
        <v>438</v>
      </c>
      <c r="D11" s="48" t="s">
        <v>439</v>
      </c>
      <c r="E11" s="48" t="s">
        <v>440</v>
      </c>
      <c r="F11" s="63" t="s">
        <v>441</v>
      </c>
      <c r="G11" s="53" t="s">
        <v>0</v>
      </c>
    </row>
    <row r="12" spans="1:9" ht="82.8" x14ac:dyDescent="0.25">
      <c r="A12" s="15" t="s">
        <v>415</v>
      </c>
      <c r="B12" s="48" t="s">
        <v>443</v>
      </c>
      <c r="C12" s="46" t="s">
        <v>444</v>
      </c>
      <c r="D12" s="48" t="s">
        <v>445</v>
      </c>
      <c r="E12" s="48" t="s">
        <v>446</v>
      </c>
      <c r="F12" s="51" t="s">
        <v>447</v>
      </c>
      <c r="G12" s="53" t="s">
        <v>0</v>
      </c>
    </row>
    <row r="13" spans="1:9" ht="66" x14ac:dyDescent="0.25">
      <c r="A13" s="15" t="s">
        <v>416</v>
      </c>
      <c r="B13" s="46" t="s">
        <v>448</v>
      </c>
      <c r="C13" s="56" t="s">
        <v>449</v>
      </c>
      <c r="D13" s="46" t="s">
        <v>453</v>
      </c>
      <c r="E13" s="46" t="s">
        <v>450</v>
      </c>
      <c r="F13" s="46" t="s">
        <v>451</v>
      </c>
      <c r="G13" s="53" t="s">
        <v>0</v>
      </c>
      <c r="H13" s="63"/>
    </row>
    <row r="14" spans="1:9" ht="66" x14ac:dyDescent="0.25">
      <c r="A14" s="15" t="s">
        <v>417</v>
      </c>
      <c r="B14" s="46" t="s">
        <v>452</v>
      </c>
      <c r="C14" s="56" t="s">
        <v>449</v>
      </c>
      <c r="D14" s="46" t="s">
        <v>453</v>
      </c>
      <c r="E14" s="46" t="s">
        <v>457</v>
      </c>
      <c r="F14" s="46" t="s">
        <v>454</v>
      </c>
      <c r="G14" s="53" t="s">
        <v>0</v>
      </c>
      <c r="H14" s="63"/>
    </row>
    <row r="15" spans="1:9" ht="66" x14ac:dyDescent="0.25">
      <c r="A15" s="15" t="s">
        <v>418</v>
      </c>
      <c r="B15" s="46" t="s">
        <v>455</v>
      </c>
      <c r="C15" s="65" t="s">
        <v>456</v>
      </c>
      <c r="D15" s="46" t="s">
        <v>458</v>
      </c>
      <c r="E15" s="46" t="s">
        <v>459</v>
      </c>
      <c r="F15" s="46" t="s">
        <v>460</v>
      </c>
      <c r="G15" s="53" t="s">
        <v>0</v>
      </c>
      <c r="H15" s="63"/>
    </row>
    <row r="16" spans="1:9" ht="66" x14ac:dyDescent="0.25">
      <c r="A16" s="15" t="s">
        <v>419</v>
      </c>
      <c r="B16" s="46" t="s">
        <v>461</v>
      </c>
      <c r="C16" s="65" t="s">
        <v>462</v>
      </c>
      <c r="D16" s="46" t="s">
        <v>458</v>
      </c>
      <c r="E16" s="46" t="s">
        <v>463</v>
      </c>
      <c r="F16" s="46" t="s">
        <v>464</v>
      </c>
      <c r="G16" s="53" t="s">
        <v>0</v>
      </c>
      <c r="H16" s="63"/>
    </row>
    <row r="17" spans="1:8" ht="92.4" x14ac:dyDescent="0.25">
      <c r="A17" s="15" t="s">
        <v>420</v>
      </c>
      <c r="B17" s="46" t="s">
        <v>468</v>
      </c>
      <c r="C17" s="56" t="s">
        <v>469</v>
      </c>
      <c r="D17" s="46" t="s">
        <v>470</v>
      </c>
      <c r="E17" s="46" t="s">
        <v>471</v>
      </c>
      <c r="F17" s="46" t="s">
        <v>472</v>
      </c>
      <c r="G17" s="53" t="s">
        <v>0</v>
      </c>
      <c r="H17" s="63"/>
    </row>
    <row r="18" spans="1:8" ht="92.4" x14ac:dyDescent="0.25">
      <c r="A18" s="15" t="s">
        <v>421</v>
      </c>
      <c r="B18" s="46" t="s">
        <v>473</v>
      </c>
      <c r="C18" s="56" t="s">
        <v>469</v>
      </c>
      <c r="D18" s="46" t="s">
        <v>470</v>
      </c>
      <c r="E18" s="46" t="s">
        <v>474</v>
      </c>
      <c r="F18" s="46" t="s">
        <v>475</v>
      </c>
      <c r="G18" s="53" t="s">
        <v>0</v>
      </c>
      <c r="H18" s="63"/>
    </row>
    <row r="19" spans="1:8" ht="52.8" x14ac:dyDescent="0.25">
      <c r="A19" s="15" t="s">
        <v>465</v>
      </c>
      <c r="B19" s="46" t="s">
        <v>476</v>
      </c>
      <c r="C19" s="56" t="s">
        <v>477</v>
      </c>
      <c r="D19" s="46" t="s">
        <v>478</v>
      </c>
      <c r="E19" s="46" t="s">
        <v>479</v>
      </c>
      <c r="F19" s="46" t="s">
        <v>480</v>
      </c>
      <c r="G19" s="53" t="s">
        <v>0</v>
      </c>
    </row>
    <row r="20" spans="1:8" ht="52.8" x14ac:dyDescent="0.25">
      <c r="A20" s="15" t="s">
        <v>466</v>
      </c>
      <c r="B20" s="46" t="s">
        <v>481</v>
      </c>
      <c r="C20" s="56" t="s">
        <v>482</v>
      </c>
      <c r="D20" s="46" t="s">
        <v>483</v>
      </c>
      <c r="E20" s="46" t="s">
        <v>484</v>
      </c>
      <c r="F20" s="46" t="s">
        <v>485</v>
      </c>
      <c r="G20" s="53" t="s">
        <v>0</v>
      </c>
    </row>
    <row r="21" spans="1:8" ht="52.8" x14ac:dyDescent="0.25">
      <c r="A21" s="15" t="s">
        <v>467</v>
      </c>
      <c r="B21" s="46" t="s">
        <v>486</v>
      </c>
      <c r="C21" s="56" t="s">
        <v>487</v>
      </c>
      <c r="D21" s="46" t="s">
        <v>483</v>
      </c>
      <c r="E21" s="46" t="s">
        <v>489</v>
      </c>
      <c r="F21" s="46" t="s">
        <v>488</v>
      </c>
      <c r="G21" s="53" t="s">
        <v>0</v>
      </c>
    </row>
    <row r="22" spans="1:8" ht="66" x14ac:dyDescent="0.25">
      <c r="A22" s="15" t="s">
        <v>490</v>
      </c>
      <c r="B22" s="46" t="s">
        <v>491</v>
      </c>
      <c r="C22" s="56" t="s">
        <v>492</v>
      </c>
      <c r="D22" s="46" t="s">
        <v>493</v>
      </c>
      <c r="E22" s="46" t="s">
        <v>494</v>
      </c>
      <c r="F22" s="56" t="s">
        <v>205</v>
      </c>
      <c r="G22" s="52" t="s">
        <v>1</v>
      </c>
    </row>
  </sheetData>
  <mergeCells count="7">
    <mergeCell ref="A5:B5"/>
    <mergeCell ref="C5:G5"/>
    <mergeCell ref="A1:B1"/>
    <mergeCell ref="H1:I1"/>
    <mergeCell ref="A2:B2"/>
    <mergeCell ref="A3:B3"/>
    <mergeCell ref="A4:B4"/>
  </mergeCells>
  <phoneticPr fontId="16" type="noConversion"/>
  <conditionalFormatting sqref="G8:G9">
    <cfRule type="cellIs" dxfId="31" priority="13" operator="equal">
      <formula>"FAIL"</formula>
    </cfRule>
  </conditionalFormatting>
  <conditionalFormatting sqref="G8:G9">
    <cfRule type="cellIs" dxfId="30" priority="14" operator="equal">
      <formula>"PASS"</formula>
    </cfRule>
  </conditionalFormatting>
  <conditionalFormatting sqref="G8:G9">
    <cfRule type="cellIs" dxfId="29" priority="15" operator="equal">
      <formula>"WARNING"</formula>
    </cfRule>
  </conditionalFormatting>
  <conditionalFormatting sqref="G8:G9">
    <cfRule type="containsBlanks" dxfId="28" priority="16">
      <formula>LEN(TRIM(G8))=0</formula>
    </cfRule>
  </conditionalFormatting>
  <conditionalFormatting sqref="I2">
    <cfRule type="cellIs" dxfId="27" priority="9" operator="equal">
      <formula>"FAIL"</formula>
    </cfRule>
  </conditionalFormatting>
  <conditionalFormatting sqref="I2">
    <cfRule type="cellIs" dxfId="26" priority="10" operator="equal">
      <formula>"PASS"</formula>
    </cfRule>
  </conditionalFormatting>
  <conditionalFormatting sqref="I2">
    <cfRule type="cellIs" dxfId="25" priority="11" operator="equal">
      <formula>"WARNING"</formula>
    </cfRule>
  </conditionalFormatting>
  <conditionalFormatting sqref="I2">
    <cfRule type="containsBlanks" dxfId="24" priority="12">
      <formula>LEN(TRIM(I2))=0</formula>
    </cfRule>
  </conditionalFormatting>
  <conditionalFormatting sqref="I3">
    <cfRule type="cellIs" dxfId="23" priority="5" operator="equal">
      <formula>"FAIL"</formula>
    </cfRule>
  </conditionalFormatting>
  <conditionalFormatting sqref="I3">
    <cfRule type="cellIs" dxfId="22" priority="6" operator="equal">
      <formula>"PASS"</formula>
    </cfRule>
  </conditionalFormatting>
  <conditionalFormatting sqref="I3">
    <cfRule type="cellIs" dxfId="21" priority="7" operator="equal">
      <formula>"WARNING"</formula>
    </cfRule>
  </conditionalFormatting>
  <conditionalFormatting sqref="I3">
    <cfRule type="containsBlanks" dxfId="20" priority="8">
      <formula>LEN(TRIM(I3))=0</formula>
    </cfRule>
  </conditionalFormatting>
  <conditionalFormatting sqref="G7">
    <cfRule type="cellIs" dxfId="19" priority="1" operator="equal">
      <formula>"FAIL"</formula>
    </cfRule>
  </conditionalFormatting>
  <conditionalFormatting sqref="G7">
    <cfRule type="cellIs" dxfId="18" priority="2" operator="equal">
      <formula>"PASS"</formula>
    </cfRule>
  </conditionalFormatting>
  <conditionalFormatting sqref="G7">
    <cfRule type="cellIs" dxfId="17" priority="3" operator="equal">
      <formula>"WARNING"</formula>
    </cfRule>
  </conditionalFormatting>
  <conditionalFormatting sqref="G7">
    <cfRule type="containsBlanks" dxfId="16" priority="4">
      <formula>LEN(TRIM(G7))=0</formula>
    </cfRule>
  </conditionalFormatting>
  <dataValidations count="1">
    <dataValidation type="list" allowBlank="1" showInputMessage="1" showErrorMessage="1" prompt="Click and enter a value from the list of items" sqref="G7:G9" xr:uid="{3756883F-E665-4E12-AF07-8DD065FCC7FC}">
      <formula1>"PASS,FAIL,WARNING"</formula1>
    </dataValidation>
  </dataValidations>
  <hyperlinks>
    <hyperlink ref="H10" r:id="rId1" xr:uid="{D882AA7C-F367-4EC9-A0FF-29CAD4DA1050}"/>
    <hyperlink ref="C15" r:id="rId2" xr:uid="{7E6168BB-E8D7-496B-BC95-5130274488C8}"/>
    <hyperlink ref="C16" r:id="rId3" xr:uid="{8BDB6B6C-DAC2-4568-BC72-CB95C3E6CB5C}"/>
  </hyperlinks>
  <pageMargins left="0.7" right="0.7" top="0.75" bottom="0.75" header="0.3" footer="0.3"/>
  <pageSetup paperSize="9"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1CA3-12DA-4BD2-B0F3-B4F27D683896}">
  <dimension ref="A1:I32"/>
  <sheetViews>
    <sheetView workbookViewId="0">
      <selection activeCell="F22" sqref="F22"/>
    </sheetView>
  </sheetViews>
  <sheetFormatPr defaultRowHeight="13.2" x14ac:dyDescent="0.25"/>
  <cols>
    <col min="1" max="1" width="22.21875" customWidth="1"/>
    <col min="2" max="2" width="26.6640625" customWidth="1"/>
    <col min="3" max="3" width="22.33203125" customWidth="1"/>
    <col min="4" max="4" width="26" customWidth="1"/>
    <col min="5" max="5" width="23.109375" customWidth="1"/>
    <col min="6" max="6" width="25.21875" customWidth="1"/>
    <col min="7" max="7" width="26.33203125" customWidth="1"/>
    <col min="8" max="8" width="21.88671875" customWidth="1"/>
    <col min="9" max="9" width="18.88671875" customWidth="1"/>
  </cols>
  <sheetData>
    <row r="1" spans="1:9" ht="13.8" x14ac:dyDescent="0.25">
      <c r="A1" s="85" t="s">
        <v>4</v>
      </c>
      <c r="B1" s="82"/>
      <c r="C1" s="1" t="s">
        <v>33</v>
      </c>
      <c r="D1" s="4" t="s">
        <v>5</v>
      </c>
      <c r="E1" s="57" t="s">
        <v>409</v>
      </c>
      <c r="F1" s="6" t="s">
        <v>6</v>
      </c>
      <c r="G1" s="57" t="s">
        <v>409</v>
      </c>
      <c r="H1" s="86" t="s">
        <v>7</v>
      </c>
      <c r="I1" s="82"/>
    </row>
    <row r="2" spans="1:9" ht="27.6" x14ac:dyDescent="0.25">
      <c r="A2" s="84" t="s">
        <v>8</v>
      </c>
      <c r="B2" s="82"/>
      <c r="C2" s="2" t="s">
        <v>495</v>
      </c>
      <c r="D2" s="4" t="s">
        <v>9</v>
      </c>
      <c r="E2" s="5" t="s">
        <v>409</v>
      </c>
      <c r="F2" s="8" t="s">
        <v>10</v>
      </c>
      <c r="G2" s="5" t="s">
        <v>409</v>
      </c>
      <c r="H2" s="4" t="s">
        <v>0</v>
      </c>
      <c r="I2" s="40">
        <v>15</v>
      </c>
    </row>
    <row r="3" spans="1:9" ht="13.8" x14ac:dyDescent="0.25">
      <c r="A3" s="84"/>
      <c r="B3" s="82"/>
      <c r="C3" s="2"/>
      <c r="D3" s="9" t="s">
        <v>11</v>
      </c>
      <c r="E3" s="3" t="s">
        <v>27</v>
      </c>
      <c r="F3" s="1" t="s">
        <v>12</v>
      </c>
      <c r="G3" s="69">
        <v>1</v>
      </c>
      <c r="H3" s="10" t="s">
        <v>1</v>
      </c>
      <c r="I3" s="21">
        <v>4</v>
      </c>
    </row>
    <row r="4" spans="1:9" ht="13.8" x14ac:dyDescent="0.25">
      <c r="A4" s="84" t="s">
        <v>13</v>
      </c>
      <c r="B4" s="82"/>
      <c r="C4" s="2" t="s">
        <v>26</v>
      </c>
      <c r="D4" s="9" t="s">
        <v>14</v>
      </c>
      <c r="E4" s="2" t="s">
        <v>27</v>
      </c>
      <c r="F4" s="1" t="s">
        <v>15</v>
      </c>
      <c r="G4" s="11" t="s">
        <v>3</v>
      </c>
      <c r="H4" s="4" t="s">
        <v>16</v>
      </c>
      <c r="I4" s="22">
        <f>COUNTIF(G8:G35, "WARNING")</f>
        <v>0</v>
      </c>
    </row>
    <row r="5" spans="1:9" ht="13.8" x14ac:dyDescent="0.25">
      <c r="A5" s="81" t="s">
        <v>17</v>
      </c>
      <c r="B5" s="82"/>
      <c r="C5" s="81"/>
      <c r="D5" s="83"/>
      <c r="E5" s="83"/>
      <c r="F5" s="83"/>
      <c r="G5" s="82"/>
      <c r="H5" s="12" t="s">
        <v>18</v>
      </c>
      <c r="I5" s="23">
        <f>SUM(I2:I4:I3)</f>
        <v>19</v>
      </c>
    </row>
    <row r="6" spans="1:9" ht="13.8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27.6" x14ac:dyDescent="0.25">
      <c r="A7" s="15" t="s">
        <v>496</v>
      </c>
      <c r="B7" s="16" t="s">
        <v>517</v>
      </c>
      <c r="C7" s="36" t="s">
        <v>515</v>
      </c>
      <c r="D7" s="17" t="s">
        <v>516</v>
      </c>
      <c r="E7" s="16" t="s">
        <v>518</v>
      </c>
      <c r="F7" s="17" t="s">
        <v>523</v>
      </c>
      <c r="G7" s="18" t="s">
        <v>0</v>
      </c>
      <c r="H7" s="37"/>
      <c r="I7" s="7"/>
    </row>
    <row r="8" spans="1:9" ht="55.2" x14ac:dyDescent="0.25">
      <c r="A8" s="15" t="s">
        <v>497</v>
      </c>
      <c r="B8" s="16" t="s">
        <v>519</v>
      </c>
      <c r="C8" s="38" t="s">
        <v>520</v>
      </c>
      <c r="D8" s="17" t="s">
        <v>516</v>
      </c>
      <c r="E8" s="16" t="s">
        <v>521</v>
      </c>
      <c r="F8" s="17" t="s">
        <v>522</v>
      </c>
      <c r="G8" s="18" t="s">
        <v>0</v>
      </c>
      <c r="H8" s="37"/>
      <c r="I8" s="7"/>
    </row>
    <row r="9" spans="1:9" ht="27.6" x14ac:dyDescent="0.25">
      <c r="A9" s="15" t="s">
        <v>498</v>
      </c>
      <c r="B9" s="16" t="s">
        <v>524</v>
      </c>
      <c r="C9" s="36" t="s">
        <v>525</v>
      </c>
      <c r="D9" s="16" t="s">
        <v>516</v>
      </c>
      <c r="E9" s="16" t="s">
        <v>526</v>
      </c>
      <c r="F9" s="16" t="s">
        <v>527</v>
      </c>
      <c r="G9" s="39" t="s">
        <v>0</v>
      </c>
      <c r="H9" s="32"/>
      <c r="I9" s="7"/>
    </row>
    <row r="10" spans="1:9" ht="41.4" x14ac:dyDescent="0.25">
      <c r="A10" s="15" t="s">
        <v>499</v>
      </c>
      <c r="B10" s="48" t="s">
        <v>528</v>
      </c>
      <c r="C10" s="46" t="s">
        <v>529</v>
      </c>
      <c r="D10" s="48" t="s">
        <v>530</v>
      </c>
      <c r="E10" s="48" t="s">
        <v>531</v>
      </c>
      <c r="F10" s="48" t="s">
        <v>532</v>
      </c>
      <c r="G10" s="53" t="s">
        <v>0</v>
      </c>
    </row>
    <row r="11" spans="1:9" ht="55.2" x14ac:dyDescent="0.25">
      <c r="A11" s="15" t="s">
        <v>500</v>
      </c>
      <c r="B11" s="48" t="s">
        <v>533</v>
      </c>
      <c r="C11" s="46" t="s">
        <v>534</v>
      </c>
      <c r="D11" s="48" t="s">
        <v>535</v>
      </c>
      <c r="E11" s="48" t="s">
        <v>536</v>
      </c>
      <c r="F11" s="46" t="s">
        <v>537</v>
      </c>
      <c r="G11" s="53" t="s">
        <v>0</v>
      </c>
    </row>
    <row r="12" spans="1:9" ht="55.2" x14ac:dyDescent="0.25">
      <c r="A12" s="15" t="s">
        <v>501</v>
      </c>
      <c r="B12" s="48" t="s">
        <v>538</v>
      </c>
      <c r="C12" s="46" t="s">
        <v>534</v>
      </c>
      <c r="D12" s="48" t="s">
        <v>539</v>
      </c>
      <c r="E12" s="48" t="s">
        <v>540</v>
      </c>
      <c r="F12" s="51" t="s">
        <v>541</v>
      </c>
      <c r="G12" s="53" t="s">
        <v>0</v>
      </c>
    </row>
    <row r="13" spans="1:9" ht="52.8" x14ac:dyDescent="0.25">
      <c r="A13" s="15" t="s">
        <v>502</v>
      </c>
      <c r="B13" s="48" t="s">
        <v>542</v>
      </c>
      <c r="C13" s="56" t="s">
        <v>534</v>
      </c>
      <c r="D13" s="46" t="s">
        <v>543</v>
      </c>
      <c r="E13" s="48" t="s">
        <v>544</v>
      </c>
      <c r="F13" s="46" t="s">
        <v>545</v>
      </c>
      <c r="G13" s="73" t="s">
        <v>555</v>
      </c>
    </row>
    <row r="14" spans="1:9" ht="52.8" x14ac:dyDescent="0.25">
      <c r="A14" s="15" t="s">
        <v>503</v>
      </c>
      <c r="B14" s="70" t="s">
        <v>546</v>
      </c>
      <c r="C14" s="56" t="s">
        <v>547</v>
      </c>
      <c r="D14" s="46" t="s">
        <v>548</v>
      </c>
      <c r="E14" s="46" t="s">
        <v>549</v>
      </c>
      <c r="F14" s="46" t="s">
        <v>550</v>
      </c>
      <c r="G14" s="74" t="s">
        <v>555</v>
      </c>
    </row>
    <row r="15" spans="1:9" ht="52.8" x14ac:dyDescent="0.25">
      <c r="A15" s="15" t="s">
        <v>504</v>
      </c>
      <c r="B15" s="70" t="s">
        <v>551</v>
      </c>
      <c r="C15" s="46" t="s">
        <v>552</v>
      </c>
      <c r="D15" s="46" t="s">
        <v>530</v>
      </c>
      <c r="E15" s="46" t="s">
        <v>553</v>
      </c>
      <c r="F15" s="46" t="s">
        <v>554</v>
      </c>
      <c r="G15" s="75" t="s">
        <v>560</v>
      </c>
    </row>
    <row r="16" spans="1:9" ht="39.6" x14ac:dyDescent="0.25">
      <c r="A16" s="15" t="s">
        <v>505</v>
      </c>
      <c r="B16" s="70" t="s">
        <v>556</v>
      </c>
      <c r="C16" s="56" t="s">
        <v>557</v>
      </c>
      <c r="D16" s="46" t="s">
        <v>516</v>
      </c>
      <c r="E16" s="46" t="s">
        <v>558</v>
      </c>
      <c r="F16" s="46" t="s">
        <v>559</v>
      </c>
      <c r="G16" s="53" t="s">
        <v>0</v>
      </c>
    </row>
    <row r="17" spans="1:7" ht="66" x14ac:dyDescent="0.25">
      <c r="A17" s="15" t="s">
        <v>506</v>
      </c>
      <c r="B17" s="70" t="s">
        <v>561</v>
      </c>
      <c r="C17" s="56" t="s">
        <v>562</v>
      </c>
      <c r="D17" s="46" t="s">
        <v>516</v>
      </c>
      <c r="E17" s="46" t="s">
        <v>563</v>
      </c>
      <c r="F17" s="46" t="s">
        <v>564</v>
      </c>
      <c r="G17" s="53" t="s">
        <v>0</v>
      </c>
    </row>
    <row r="18" spans="1:7" ht="52.8" x14ac:dyDescent="0.25">
      <c r="A18" s="15" t="s">
        <v>507</v>
      </c>
      <c r="B18" s="70" t="s">
        <v>565</v>
      </c>
      <c r="C18" s="56" t="s">
        <v>566</v>
      </c>
      <c r="D18" s="46" t="s">
        <v>516</v>
      </c>
      <c r="E18" s="46" t="s">
        <v>567</v>
      </c>
      <c r="F18" s="46" t="s">
        <v>568</v>
      </c>
      <c r="G18" s="75" t="s">
        <v>569</v>
      </c>
    </row>
    <row r="19" spans="1:7" ht="39.6" x14ac:dyDescent="0.25">
      <c r="A19" s="15" t="s">
        <v>508</v>
      </c>
      <c r="B19" s="70" t="s">
        <v>570</v>
      </c>
      <c r="C19" s="56" t="s">
        <v>571</v>
      </c>
      <c r="D19" s="46" t="s">
        <v>516</v>
      </c>
      <c r="E19" s="46" t="s">
        <v>572</v>
      </c>
      <c r="F19" s="46" t="s">
        <v>573</v>
      </c>
      <c r="G19" s="72" t="s">
        <v>0</v>
      </c>
    </row>
    <row r="20" spans="1:7" ht="66" x14ac:dyDescent="0.25">
      <c r="A20" s="15" t="s">
        <v>509</v>
      </c>
      <c r="B20" s="70" t="s">
        <v>574</v>
      </c>
      <c r="C20" s="56" t="s">
        <v>575</v>
      </c>
      <c r="D20" s="46" t="s">
        <v>576</v>
      </c>
      <c r="E20" s="46" t="s">
        <v>577</v>
      </c>
      <c r="F20" s="46" t="s">
        <v>578</v>
      </c>
      <c r="G20" s="75" t="s">
        <v>569</v>
      </c>
    </row>
    <row r="21" spans="1:7" ht="52.8" x14ac:dyDescent="0.25">
      <c r="A21" s="15" t="s">
        <v>510</v>
      </c>
      <c r="B21" s="70" t="s">
        <v>579</v>
      </c>
      <c r="C21" s="56" t="s">
        <v>571</v>
      </c>
      <c r="D21" s="46" t="s">
        <v>580</v>
      </c>
      <c r="E21" s="46" t="s">
        <v>581</v>
      </c>
      <c r="F21" s="46" t="s">
        <v>582</v>
      </c>
      <c r="G21" s="72" t="s">
        <v>32</v>
      </c>
    </row>
    <row r="22" spans="1:7" ht="66" x14ac:dyDescent="0.25">
      <c r="A22" s="15" t="s">
        <v>511</v>
      </c>
      <c r="B22" s="70" t="s">
        <v>583</v>
      </c>
      <c r="C22" s="56" t="s">
        <v>584</v>
      </c>
      <c r="D22" s="46" t="s">
        <v>576</v>
      </c>
      <c r="E22" s="46" t="s">
        <v>585</v>
      </c>
      <c r="F22" s="46" t="s">
        <v>603</v>
      </c>
      <c r="G22" s="75" t="s">
        <v>569</v>
      </c>
    </row>
    <row r="23" spans="1:7" ht="66" x14ac:dyDescent="0.25">
      <c r="A23" s="15" t="s">
        <v>512</v>
      </c>
      <c r="B23" s="70" t="s">
        <v>586</v>
      </c>
      <c r="C23" s="56" t="s">
        <v>584</v>
      </c>
      <c r="D23" s="46" t="s">
        <v>576</v>
      </c>
      <c r="E23" s="46" t="s">
        <v>587</v>
      </c>
      <c r="F23" s="46" t="s">
        <v>588</v>
      </c>
      <c r="G23" s="71" t="s">
        <v>1</v>
      </c>
    </row>
    <row r="24" spans="1:7" ht="52.8" x14ac:dyDescent="0.25">
      <c r="A24" s="15" t="s">
        <v>513</v>
      </c>
      <c r="B24" s="70" t="s">
        <v>589</v>
      </c>
      <c r="C24" s="56" t="s">
        <v>590</v>
      </c>
      <c r="D24" s="46" t="s">
        <v>591</v>
      </c>
      <c r="E24" s="46" t="s">
        <v>592</v>
      </c>
      <c r="F24" s="56" t="s">
        <v>593</v>
      </c>
      <c r="G24" s="75" t="s">
        <v>560</v>
      </c>
    </row>
    <row r="25" spans="1:7" ht="52.8" x14ac:dyDescent="0.25">
      <c r="A25" s="15" t="s">
        <v>514</v>
      </c>
      <c r="B25" s="70" t="s">
        <v>594</v>
      </c>
      <c r="C25" s="46" t="s">
        <v>595</v>
      </c>
      <c r="D25" s="46" t="s">
        <v>516</v>
      </c>
      <c r="E25" s="56" t="s">
        <v>596</v>
      </c>
      <c r="F25" s="56" t="s">
        <v>597</v>
      </c>
      <c r="G25" s="71" t="s">
        <v>29</v>
      </c>
    </row>
    <row r="26" spans="1:7" x14ac:dyDescent="0.25">
      <c r="B26" s="63"/>
      <c r="C26" s="63"/>
      <c r="D26" s="63"/>
      <c r="G26" s="63"/>
    </row>
    <row r="27" spans="1:7" x14ac:dyDescent="0.25">
      <c r="A27" s="63"/>
      <c r="B27" s="63"/>
      <c r="C27" s="63"/>
      <c r="D27" s="63"/>
      <c r="E27" s="63"/>
      <c r="F27" s="63"/>
      <c r="G27" s="63"/>
    </row>
    <row r="28" spans="1:7" x14ac:dyDescent="0.25">
      <c r="B28" s="63"/>
      <c r="C28" s="63"/>
    </row>
    <row r="29" spans="1:7" x14ac:dyDescent="0.25">
      <c r="B29" s="63"/>
      <c r="C29" s="63"/>
    </row>
    <row r="30" spans="1:7" x14ac:dyDescent="0.25">
      <c r="C30" s="63"/>
    </row>
    <row r="31" spans="1:7" x14ac:dyDescent="0.25">
      <c r="C31" s="63"/>
    </row>
    <row r="32" spans="1:7" x14ac:dyDescent="0.25">
      <c r="C32" s="63"/>
    </row>
  </sheetData>
  <mergeCells count="7">
    <mergeCell ref="A5:B5"/>
    <mergeCell ref="C5:G5"/>
    <mergeCell ref="A1:B1"/>
    <mergeCell ref="H1:I1"/>
    <mergeCell ref="A2:B2"/>
    <mergeCell ref="A3:B3"/>
    <mergeCell ref="A4:B4"/>
  </mergeCells>
  <phoneticPr fontId="16" type="noConversion"/>
  <conditionalFormatting sqref="G8:G9">
    <cfRule type="cellIs" dxfId="15" priority="13" operator="equal">
      <formula>"FAIL"</formula>
    </cfRule>
  </conditionalFormatting>
  <conditionalFormatting sqref="G8:G9">
    <cfRule type="cellIs" dxfId="14" priority="14" operator="equal">
      <formula>"PASS"</formula>
    </cfRule>
  </conditionalFormatting>
  <conditionalFormatting sqref="G8:G9">
    <cfRule type="cellIs" dxfId="13" priority="15" operator="equal">
      <formula>"WARNING"</formula>
    </cfRule>
  </conditionalFormatting>
  <conditionalFormatting sqref="G8:G9">
    <cfRule type="containsBlanks" dxfId="12" priority="16">
      <formula>LEN(TRIM(G8))=0</formula>
    </cfRule>
  </conditionalFormatting>
  <conditionalFormatting sqref="I2">
    <cfRule type="cellIs" dxfId="11" priority="9" operator="equal">
      <formula>"FAIL"</formula>
    </cfRule>
  </conditionalFormatting>
  <conditionalFormatting sqref="I2">
    <cfRule type="cellIs" dxfId="10" priority="10" operator="equal">
      <formula>"PASS"</formula>
    </cfRule>
  </conditionalFormatting>
  <conditionalFormatting sqref="I2">
    <cfRule type="cellIs" dxfId="9" priority="11" operator="equal">
      <formula>"WARNING"</formula>
    </cfRule>
  </conditionalFormatting>
  <conditionalFormatting sqref="I2">
    <cfRule type="containsBlanks" dxfId="8" priority="12">
      <formula>LEN(TRIM(I2))=0</formula>
    </cfRule>
  </conditionalFormatting>
  <conditionalFormatting sqref="I3">
    <cfRule type="cellIs" dxfId="7" priority="5" operator="equal">
      <formula>"FAIL"</formula>
    </cfRule>
  </conditionalFormatting>
  <conditionalFormatting sqref="I3">
    <cfRule type="cellIs" dxfId="6" priority="6" operator="equal">
      <formula>"PASS"</formula>
    </cfRule>
  </conditionalFormatting>
  <conditionalFormatting sqref="I3">
    <cfRule type="cellIs" dxfId="5" priority="7" operator="equal">
      <formula>"WARNING"</formula>
    </cfRule>
  </conditionalFormatting>
  <conditionalFormatting sqref="I3">
    <cfRule type="containsBlanks" dxfId="4" priority="8">
      <formula>LEN(TRIM(I3))=0</formula>
    </cfRule>
  </conditionalFormatting>
  <conditionalFormatting sqref="G7">
    <cfRule type="cellIs" dxfId="3" priority="1" operator="equal">
      <formula>"FAIL"</formula>
    </cfRule>
  </conditionalFormatting>
  <conditionalFormatting sqref="G7">
    <cfRule type="cellIs" dxfId="2" priority="2" operator="equal">
      <formula>"PASS"</formula>
    </cfRule>
  </conditionalFormatting>
  <conditionalFormatting sqref="G7">
    <cfRule type="cellIs" dxfId="1" priority="3" operator="equal">
      <formula>"WARNING"</formula>
    </cfRule>
  </conditionalFormatting>
  <conditionalFormatting sqref="G7">
    <cfRule type="containsBlanks" dxfId="0" priority="4">
      <formula>LEN(TRIM(G7))=0</formula>
    </cfRule>
  </conditionalFormatting>
  <dataValidations count="1">
    <dataValidation type="list" allowBlank="1" showInputMessage="1" showErrorMessage="1" prompt="Click and enter a value from the list of items" sqref="G7:G9" xr:uid="{7517840F-1B95-4412-BDEF-AD5E10A6E11C}">
      <formula1>"PASS,FAIL,WARNING"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Test Case for header section</vt:lpstr>
      <vt:lpstr>Test Cases for the Home Page</vt:lpstr>
      <vt:lpstr>Test Cases for the About Page</vt:lpstr>
      <vt:lpstr>Test Cases for the Publisher</vt:lpstr>
      <vt:lpstr>Test Cases for the Advertiser  </vt:lpstr>
      <vt:lpstr>Test Cases for the Blog</vt:lpstr>
      <vt:lpstr>Test Cases for the Contact Us</vt:lpstr>
      <vt:lpstr>Test Cases for the Footer</vt:lpstr>
      <vt:lpstr>mm</vt:lpstr>
      <vt:lpstr>verify_package_Design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Paul</cp:lastModifiedBy>
  <cp:lastPrinted>2020-08-07T07:40:07Z</cp:lastPrinted>
  <dcterms:created xsi:type="dcterms:W3CDTF">2020-08-07T08:33:33Z</dcterms:created>
  <dcterms:modified xsi:type="dcterms:W3CDTF">2023-04-05T13:23:43Z</dcterms:modified>
</cp:coreProperties>
</file>